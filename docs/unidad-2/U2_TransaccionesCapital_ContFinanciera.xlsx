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Inicio" sheetId="1" state="visible" r:id="rId3"/>
    <sheet name="2 Marco Normativo" sheetId="2" state="visible" r:id="rId4"/>
    <sheet name="3 Calculo Emision" sheetId="3" state="visible" r:id="rId5"/>
    <sheet name="4 Calculo Practica" sheetId="4" state="visible" r:id="rId6"/>
    <sheet name="5 Asientos Resueltos" sheetId="5" state="visible" r:id="rId7"/>
    <sheet name="6 Asientos Practica" sheetId="6" state="visible" r:id="rId8"/>
    <sheet name="7 Producto Final" sheetId="7" state="visible" r:id="rId9"/>
    <sheet name="8 Producto Final Practic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<sst xmlns="http://schemas.openxmlformats.org/spreadsheetml/2006/main" count="216" uniqueCount="152">
  <si>
    <t xml:space="preserve">UNIDAD 2 — TRANSACCIONES DE CAPITAL</t>
  </si>
  <si>
    <t xml:space="preserve">Contabilidad Financiera · Sección 2 · ESEN · Trimestre 3/2026</t>
  </si>
  <si>
    <t xml:space="preserve">Profesora Antonia Caballero de Siman</t>
  </si>
  <si>
    <t xml:space="preserve">Nombre del estudiante:</t>
  </si>
  <si>
    <t xml:space="preserve">Carnet:</t>
  </si>
  <si>
    <t xml:space="preserve">Fecha de entrega:</t>
  </si>
  <si>
    <t xml:space="preserve">CÓDIGO DE HONOR</t>
  </si>
  <si>
    <t xml:space="preserve">"Por mi honor y ante mis compañeros, me comprometo a que esta actividad académica refleje mi verdadero nivel de conocimientos, evitando realizar cualquier forma de deshonestidad académica (por ejemplo, copiar o plagiar)."</t>
  </si>
  <si>
    <t xml:space="preserve">GUÍA DE HOJAS DE ESTE LIBRO</t>
  </si>
  <si>
    <t xml:space="preserve">2 Marco Normativo</t>
  </si>
  <si>
    <t xml:space="preserve">Artículos y cifras oficiales del tema, tomadas del PDF de la clase.</t>
  </si>
  <si>
    <t xml:space="preserve">3 Cálculo Emisión</t>
  </si>
  <si>
    <t xml:space="preserve">Ejercicio 1 de la guía (XYZ, S.A. de C.V.) resuelto con fórmulas.</t>
  </si>
  <si>
    <t xml:space="preserve">4 Cálculo Práctica</t>
  </si>
  <si>
    <t xml:space="preserve">Misma estructura, en blanco, para practicar con datos nuevos.</t>
  </si>
  <si>
    <t xml:space="preserve">5 Asientos Resueltos</t>
  </si>
  <si>
    <t xml:space="preserve">Libro diario de la emisión y de dividendos preferentes, enlazado a la Hoja 3.</t>
  </si>
  <si>
    <t xml:space="preserve">6 Asientos Práctica</t>
  </si>
  <si>
    <t xml:space="preserve">Plantilla en blanco del libro diario.</t>
  </si>
  <si>
    <t xml:space="preserve">7 Producto Final</t>
  </si>
  <si>
    <t xml:space="preserve">Sección de Patrimonio del Balance General, resuelta.</t>
  </si>
  <si>
    <t xml:space="preserve">8 Producto Final Práct.</t>
  </si>
  <si>
    <t xml:space="preserve">Plantilla en blanco de la misma sección.</t>
  </si>
  <si>
    <t xml:space="preserve">LEYENDA DE COLORES</t>
  </si>
  <si>
    <t xml:space="preserve">Fila de cuenta de Activo</t>
  </si>
  <si>
    <t xml:space="preserve">Fila de cuenta de Pasivo</t>
  </si>
  <si>
    <t xml:space="preserve">Fila de cuenta de Patrimonio</t>
  </si>
  <si>
    <t xml:space="preserve">Marco legal / cifra normativa</t>
  </si>
  <si>
    <t xml:space="preserve">Celda para completar (práctica)</t>
  </si>
  <si>
    <t xml:space="preserve">Nota o instrucción pedagógica</t>
  </si>
  <si>
    <t xml:space="preserve">Texto azul</t>
  </si>
  <si>
    <t xml:space="preserve">valor de entrada que puedes cambiar</t>
  </si>
  <si>
    <t xml:space="preserve">Texto negro</t>
  </si>
  <si>
    <t xml:space="preserve">fórmula o cálculo automático (no editar)</t>
  </si>
  <si>
    <t xml:space="preserve">Texto gris</t>
  </si>
  <si>
    <t xml:space="preserve">nota o instrucción</t>
  </si>
  <si>
    <t xml:space="preserve">MARCO NORMATIVO — UNIDAD 2: TRANSACCIONES DE CAPITAL</t>
  </si>
  <si>
    <t xml:space="preserve">Fuente: Unidad 2 Transacciones de capital.pdf + Acciones de Tesorería.pdf (clase del 1-3 de septiembre de 2026). El PDF no cita números de artículo del Código de Comercio para esta unidad; se referencia en términos generales.</t>
  </si>
  <si>
    <t xml:space="preserve">Constitución de la Sociedad Anónima</t>
  </si>
  <si>
    <t xml:space="preserve">Capital social mínimo</t>
  </si>
  <si>
    <t xml:space="preserve">USD $2,000</t>
  </si>
  <si>
    <t xml:space="preserve">Código de Comercio de El Salvador</t>
  </si>
  <si>
    <t xml:space="preserve">Mínimo pagado a la inscripción</t>
  </si>
  <si>
    <t xml:space="preserve">5% del capital social</t>
  </si>
  <si>
    <t xml:space="preserve">Plazo para pagar el resto</t>
  </si>
  <si>
    <t xml:space="preserve">Dentro del año siguiente a la inscripción</t>
  </si>
  <si>
    <t xml:space="preserve">Número mínimo de accionistas</t>
  </si>
  <si>
    <t xml:space="preserve">2 (sin máximo)</t>
  </si>
  <si>
    <t xml:space="preserve">Acciones comunes y preferentes</t>
  </si>
  <si>
    <t xml:space="preserve">Valor nominal mínimo de una acción</t>
  </si>
  <si>
    <t xml:space="preserve">$1 o múltiplos enteros de uno</t>
  </si>
  <si>
    <t xml:space="preserve">Prohibición de venta bajo valor nominal</t>
  </si>
  <si>
    <t xml:space="preserve">Aplica a toda emisión</t>
  </si>
  <si>
    <t xml:space="preserve">Acciones deben ser</t>
  </si>
  <si>
    <t xml:space="preserve">Nominativas</t>
  </si>
  <si>
    <t xml:space="preserve">Dividendo mínimo de acciones preferentes</t>
  </si>
  <si>
    <t xml:space="preserve">6% del valor nominal</t>
  </si>
  <si>
    <t xml:space="preserve">Acciones preferentes recuperan voto pleno si</t>
  </si>
  <si>
    <t xml:space="preserve">No se les paga dividendo por más de 3 ejercicios (no necesariamente consecutivos)</t>
  </si>
  <si>
    <t xml:space="preserve">Dividendos — Impuesto sobre la Renta</t>
  </si>
  <si>
    <t xml:space="preserve">Retención de ISR sobre dividendos pagados</t>
  </si>
  <si>
    <t xml:space="preserve">5%</t>
  </si>
  <si>
    <t xml:space="preserve">Ley del Impuesto sobre la Renta</t>
  </si>
  <si>
    <t xml:space="preserve">Si no se retiene</t>
  </si>
  <si>
    <t xml:space="preserve">El contribuyente liquida el impuesto por separado de otras rentas</t>
  </si>
  <si>
    <t xml:space="preserve">Acciones de tesorería (referencia contable, no legal)</t>
  </si>
  <si>
    <t xml:space="preserve">Registro</t>
  </si>
  <si>
    <t xml:space="preserve">Al costo de recompra, nunca al valor nominal</t>
  </si>
  <si>
    <t xml:space="preserve">Acciones de Tesorería.pdf</t>
  </si>
  <si>
    <t xml:space="preserve">Reporte en el Balance General</t>
  </si>
  <si>
    <t xml:space="preserve">Debajo de Utilidades Retenidas, como reducción del Patrimonio</t>
  </si>
  <si>
    <t xml:space="preserve">Acciones en circulación</t>
  </si>
  <si>
    <t xml:space="preserve">acciones emitidas menos acciones en tesorería</t>
  </si>
  <si>
    <t xml:space="preserve">CÁLCULO — EMISIÓN DE ACCIONES (Ejercicio 1, guía de la profesora)</t>
  </si>
  <si>
    <t xml:space="preserve">XYZ, S.A. de C.V. — emisión del 1 de enero de 2024, pagada totalmente en efectivo.</t>
  </si>
  <si>
    <t xml:space="preserve">Tipo de acción</t>
  </si>
  <si>
    <t xml:space="preserve">Cantidad</t>
  </si>
  <si>
    <t xml:space="preserve">Valor Nominal</t>
  </si>
  <si>
    <t xml:space="preserve">Valor de Mercado</t>
  </si>
  <si>
    <t xml:space="preserve">Capital a Valor Nominal</t>
  </si>
  <si>
    <t xml:space="preserve">Prima (cap. pagado en exceso)</t>
  </si>
  <si>
    <t xml:space="preserve">¿Por qué?</t>
  </si>
  <si>
    <t xml:space="preserve">Preferente</t>
  </si>
  <si>
    <t xml:space="preserve">Capital a VN = cantidad × valor nominal. Prima = cantidad × (valor de mercado − valor nominal): nunca es utilidad.</t>
  </si>
  <si>
    <t xml:space="preserve">Común</t>
  </si>
  <si>
    <t xml:space="preserve">Misma lógica que la fila anterior, para la clase de acciones comunes.</t>
  </si>
  <si>
    <t xml:space="preserve">Total emisión</t>
  </si>
  <si>
    <t xml:space="preserve">Total capital social emitido (= efectivo recibido)</t>
  </si>
  <si>
    <t xml:space="preserve">Información previa a la emisión (31 de diciembre de 2023) — para la Hoja 7</t>
  </si>
  <si>
    <t xml:space="preserve">Utilidades retenidas previas</t>
  </si>
  <si>
    <t xml:space="preserve">Acciones comunes previas en circulación</t>
  </si>
  <si>
    <t xml:space="preserve">Capital común previo = acciones previas × VN de la acción común (misma VN que la emisión nueva)</t>
  </si>
  <si>
    <t xml:space="preserve">CÁLCULO — EMISIÓN DE ACCIONES (práctica)</t>
  </si>
  <si>
    <t xml:space="preserve">Ceiba Andina, S.A. de C.V. emite acciones el 1 de abril de 2026, pagadas totalmente en efectivo. Completa las celdas en rosa con la misma lógica de la Hoja 3.</t>
  </si>
  <si>
    <t xml:space="preserve">Escribe aquí tu fórmula: cantidad × VN</t>
  </si>
  <si>
    <t xml:space="preserve">Escribe aquí tu fórmula: cantidad × (VM − VN)</t>
  </si>
  <si>
    <t xml:space="preserve">Información previa a la emisión — para la Hoja 8</t>
  </si>
  <si>
    <t xml:space="preserve">Calcula: acciones previas × VN de la acción común</t>
  </si>
  <si>
    <t xml:space="preserve">LIBRO DIARIO — ASIENTOS RESUELTOS</t>
  </si>
  <si>
    <t xml:space="preserve">Partida 1 — Emisión de acciones (XYZ, S.A. de C.V., enlazada a la Hoja 3)</t>
  </si>
  <si>
    <t xml:space="preserve">Fecha</t>
  </si>
  <si>
    <t xml:space="preserve">Cuenta</t>
  </si>
  <si>
    <t xml:space="preserve">Clasif.</t>
  </si>
  <si>
    <t xml:space="preserve">Debe</t>
  </si>
  <si>
    <t xml:space="preserve">Haber</t>
  </si>
  <si>
    <t xml:space="preserve">01-ene-24</t>
  </si>
  <si>
    <t xml:space="preserve">Efectivo</t>
  </si>
  <si>
    <t xml:space="preserve">Activo</t>
  </si>
  <si>
    <t xml:space="preserve">     Capital preferente</t>
  </si>
  <si>
    <t xml:space="preserve">Patrimonio</t>
  </si>
  <si>
    <t xml:space="preserve">     Capital pagado en exceso: preferente</t>
  </si>
  <si>
    <t xml:space="preserve">     Capital común</t>
  </si>
  <si>
    <t xml:space="preserve">     Capital pagado en exceso: común</t>
  </si>
  <si>
    <t xml:space="preserve">Emisión de acciones preferentes y comunes con prima, pagada en efectivo</t>
  </si>
  <si>
    <t xml:space="preserve">Partida 2 — Declaración y pago de dividendos preferentes (DEF, S.A. de C.V., diapositiva 31)</t>
  </si>
  <si>
    <t xml:space="preserve">Acciones preferentes en circulación</t>
  </si>
  <si>
    <t xml:space="preserve">Valor nominal</t>
  </si>
  <si>
    <t xml:space="preserve">% de dividendo preferente</t>
  </si>
  <si>
    <t xml:space="preserve">% de retención ISR sobre dividendos</t>
  </si>
  <si>
    <t xml:space="preserve">Dividendo total declarado</t>
  </si>
  <si>
    <t xml:space="preserve">01-may</t>
  </si>
  <si>
    <t xml:space="preserve">Utilidades retenidas</t>
  </si>
  <si>
    <t xml:space="preserve">     Dividendos por pagar</t>
  </si>
  <si>
    <t xml:space="preserve">Pasivo</t>
  </si>
  <si>
    <t xml:space="preserve">Declaración de dividendo preferente en efectivo</t>
  </si>
  <si>
    <t xml:space="preserve">30-may</t>
  </si>
  <si>
    <t xml:space="preserve">Dividendos por pagar</t>
  </si>
  <si>
    <t xml:space="preserve">     Retenciones por pagar ISR (5%)</t>
  </si>
  <si>
    <t xml:space="preserve">     Efectivo</t>
  </si>
  <si>
    <t xml:space="preserve">Pago del dividendo preferente, neto de la retención de ISR</t>
  </si>
  <si>
    <t xml:space="preserve">LIBRO DIARIO — ASIENTOS (práctica)</t>
  </si>
  <si>
    <t xml:space="preserve">Partida 1 — Emisión de acciones (usa tus resultados de la Hoja 4)</t>
  </si>
  <si>
    <t xml:space="preserve">01-abr-26</t>
  </si>
  <si>
    <t xml:space="preserve">Escribe aquí el concepto de la partida</t>
  </si>
  <si>
    <t xml:space="preserve">Partida 2 — Declaración y pago de dividendos preferentes (elige tus propios datos)</t>
  </si>
  <si>
    <t xml:space="preserve">% de dividendo preferente (Hoja 2, Marco Normativo)</t>
  </si>
  <si>
    <t xml:space="preserve">% de retención ISR (Hoja 2, Marco Normativo)</t>
  </si>
  <si>
    <t xml:space="preserve">     Retenciones por pagar ISR</t>
  </si>
  <si>
    <t xml:space="preserve">PRODUCTO FINAL — SECCIÓN DE PATRIMONIO DEL BALANCE GENERAL</t>
  </si>
  <si>
    <t xml:space="preserve">XYZ, S.A. de C.V. — al 31 de enero de 2024 (después de la emisión de la Hoja 3)</t>
  </si>
  <si>
    <t xml:space="preserve">Patrimonio o Capital Contable</t>
  </si>
  <si>
    <t xml:space="preserve">Capital preferente: valor nominal $50; 1,000 acciones</t>
  </si>
  <si>
    <t xml:space="preserve">Capital pagado en exceso del valor nominal: preferente</t>
  </si>
  <si>
    <t xml:space="preserve">Capital común: valor nominal $100; 22,000 acciones emitidas</t>
  </si>
  <si>
    <t xml:space="preserve">Capital pagado en exceso del valor nominal: común</t>
  </si>
  <si>
    <t xml:space="preserve">Capital social pagado (subtotal)</t>
  </si>
  <si>
    <t xml:space="preserve">Utilidades Retenidas</t>
  </si>
  <si>
    <t xml:space="preserve">Patrimonio o Capital Contable total</t>
  </si>
  <si>
    <t xml:space="preserve">PRODUCTO FINAL — SECCIÓN DE PATRIMONIO (práctica)</t>
  </si>
  <si>
    <t xml:space="preserve">Ceiba Andina, S.A. de C.V. — completa con tus resultados de la Hoja 4</t>
  </si>
  <si>
    <t xml:space="preserve">Capital preferente: valor nominal, cantidad de acciones</t>
  </si>
  <si>
    <t xml:space="preserve">Capital común: valor nominal, cantidad de acciones totales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</si>
</sst>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A6480"/>
      <name val="Arial"/>
      <family val="0"/>
      <charset val="1"/>
    </font>
    <font>
      <sz val="10"/>
      <color rgb="FF5A64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5A64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480"/>
      <name val="Arial"/>
      <family val="0"/>
      <charset val="1"/>
    </font>
    <font>
      <i val="true"/>
      <sz val="9"/>
      <color rgb="FF5A64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D5A"/>
        <bgColor rgb="FF2C3E6B"/>
      </patternFill>
    </fill>
    <fill>
      <patternFill patternType="solid">
        <fgColor rgb="FFFFF0F5"/>
        <bgColor rgb="FFF9EEF3"/>
      </patternFill>
    </fill>
    <fill>
      <patternFill patternType="solid">
        <fgColor rgb="FF2C3E6B"/>
        <bgColor rgb="FF1E2D5A"/>
      </patternFill>
    </fill>
    <fill>
      <patternFill patternType="solid">
        <fgColor rgb="FFFFF8E1"/>
        <bgColor rgb="FFFFF0F5"/>
      </patternFill>
    </fill>
    <fill>
      <patternFill patternType="solid">
        <fgColor rgb="FFE8EEF7"/>
        <bgColor rgb="FFEAF0FA"/>
      </patternFill>
    </fill>
    <fill>
      <patternFill patternType="solid">
        <fgColor rgb="FFEEF5E8"/>
        <bgColor rgb="FFE8F5E9"/>
      </patternFill>
    </fill>
    <fill>
      <patternFill patternType="solid">
        <fgColor rgb="FFF9EEF3"/>
        <bgColor rgb="FFFFF0F5"/>
      </patternFill>
    </fill>
    <fill>
      <patternFill patternType="solid">
        <fgColor rgb="FFEAF0FA"/>
        <bgColor rgb="FFE8EEF7"/>
      </patternFill>
    </fill>
    <fill>
      <patternFill patternType="solid">
        <fgColor rgb="FFE8F5E9"/>
        <bgColor rgb="FFEEF5E8"/>
      </patternFill>
    </fill>
    <fill>
      <patternFill patternType="solid">
        <fgColor rgb="FF3D5491"/>
        <bgColor rgb="FF5A6480"/>
      </patternFill>
    </fill>
    <fill>
      <patternFill patternType="solid">
        <fgColor rgb="FFFFD873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EF7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EEF5E8"/>
      <rgbColor rgb="FFFFF0F5"/>
      <rgbColor rgb="FFF9EEF3"/>
      <rgbColor rgb="FFFF99CC"/>
      <rgbColor rgb="FFCC99FF"/>
      <rgbColor rgb="FFFFD873"/>
      <rgbColor rgb="FF3D5491"/>
      <rgbColor rgb="FF33CCCC"/>
      <rgbColor rgb="FF99CC00"/>
      <rgbColor rgb="FFFFCC00"/>
      <rgbColor rgb="FFFF9900"/>
      <rgbColor rgb="FFFF6600"/>
      <rgbColor rgb="FF5A6480"/>
      <rgbColor rgb="FF969696"/>
      <rgbColor rgb="FF1E2D5A"/>
      <rgbColor rgb="FF339966"/>
      <rgbColor rgb="FF003300"/>
      <rgbColor rgb="FF333300"/>
      <rgbColor rgb="FF993300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42"/>
  </cols>
  <sheetData>
    <row r="2" customFormat="false" ht="30" hidden="false" customHeight="true" outlineLevel="0" collapsed="false">
      <c r="B2" s="2" t="s">
        <v>0</v>
      </c>
      <c r="C2" s="2"/>
      <c r="D2" s="2"/>
    </row>
    <row r="3" customFormat="false" ht="15" hidden="false" customHeight="true" outlineLevel="0" collapsed="false">
      <c r="B3" s="3" t="s">
        <v>1</v>
      </c>
      <c r="C3" s="3"/>
      <c r="D3" s="3"/>
    </row>
    <row r="4" customFormat="false" ht="15" hidden="false" customHeight="true" outlineLevel="0" collapsed="false">
      <c r="B4" s="4" t="s">
        <v>2</v>
      </c>
      <c r="C4" s="4"/>
      <c r="D4" s="4"/>
    </row>
    <row r="6" customFormat="false" ht="15" hidden="false" customHeight="true" outlineLevel="0" collapsed="false">
      <c r="B6" s="5" t="s">
        <v>3</v>
      </c>
      <c r="C6" s="6"/>
      <c r="D6" s="6"/>
    </row>
    <row r="7" customFormat="false" ht="15" hidden="false" customHeight="true" outlineLevel="0" collapsed="false">
      <c r="B7" s="5" t="s">
        <v>4</v>
      </c>
      <c r="C7" s="6"/>
      <c r="D7" s="6"/>
    </row>
    <row r="8" customFormat="false" ht="15" hidden="false" customHeight="true" outlineLevel="0" collapsed="false">
      <c r="B8" s="5" t="s">
        <v>5</v>
      </c>
      <c r="C8" s="6"/>
      <c r="D8" s="6"/>
    </row>
    <row r="10" customFormat="false" ht="15" hidden="false" customHeight="true" outlineLevel="0" collapsed="false">
      <c r="B10" s="7" t="s">
        <v>6</v>
      </c>
      <c r="C10" s="7"/>
      <c r="D10" s="7"/>
    </row>
    <row r="11" customFormat="false" ht="69.75" hidden="false" customHeight="true" outlineLevel="0" collapsed="false">
      <c r="B11" s="8" t="s">
        <v>7</v>
      </c>
      <c r="C11" s="8"/>
      <c r="D11" s="8"/>
    </row>
    <row r="12" customFormat="false" ht="15" hidden="false" customHeight="true" outlineLevel="0" collapsed="false">
      <c r="B12" s="8"/>
      <c r="C12" s="8"/>
      <c r="D12" s="8"/>
    </row>
    <row r="13" customFormat="false" ht="15" hidden="false" customHeight="true" outlineLevel="0" collapsed="false">
      <c r="B13" s="8"/>
      <c r="C13" s="8"/>
      <c r="D13" s="8"/>
    </row>
    <row r="15" customFormat="false" ht="15" hidden="false" customHeight="true" outlineLevel="0" collapsed="false">
      <c r="B15" s="7" t="s">
        <v>8</v>
      </c>
      <c r="C15" s="7"/>
      <c r="D15" s="7"/>
    </row>
    <row r="16" customFormat="false" ht="27.75" hidden="false" customHeight="true" outlineLevel="0" collapsed="false">
      <c r="B16" s="5" t="s">
        <v>9</v>
      </c>
      <c r="C16" s="9" t="s">
        <v>10</v>
      </c>
      <c r="D16" s="9"/>
    </row>
    <row r="17" customFormat="false" ht="27.75" hidden="false" customHeight="true" outlineLevel="0" collapsed="false">
      <c r="B17" s="5" t="s">
        <v>11</v>
      </c>
      <c r="C17" s="9" t="s">
        <v>12</v>
      </c>
      <c r="D17" s="9"/>
    </row>
    <row r="18" customFormat="false" ht="27.75" hidden="false" customHeight="true" outlineLevel="0" collapsed="false">
      <c r="B18" s="5" t="s">
        <v>13</v>
      </c>
      <c r="C18" s="9" t="s">
        <v>14</v>
      </c>
      <c r="D18" s="9"/>
    </row>
    <row r="19" customFormat="false" ht="27.75" hidden="false" customHeight="true" outlineLevel="0" collapsed="false">
      <c r="B19" s="5" t="s">
        <v>15</v>
      </c>
      <c r="C19" s="9" t="s">
        <v>16</v>
      </c>
      <c r="D19" s="9"/>
    </row>
    <row r="20" customFormat="false" ht="27.75" hidden="false" customHeight="true" outlineLevel="0" collapsed="false">
      <c r="B20" s="5" t="s">
        <v>17</v>
      </c>
      <c r="C20" s="9" t="s">
        <v>18</v>
      </c>
      <c r="D20" s="9"/>
    </row>
    <row r="21" customFormat="false" ht="27.75" hidden="false" customHeight="true" outlineLevel="0" collapsed="false">
      <c r="B21" s="5" t="s">
        <v>19</v>
      </c>
      <c r="C21" s="9" t="s">
        <v>20</v>
      </c>
      <c r="D21" s="9"/>
    </row>
    <row r="22" customFormat="false" ht="27.75" hidden="false" customHeight="true" outlineLevel="0" collapsed="false">
      <c r="B22" s="5" t="s">
        <v>21</v>
      </c>
      <c r="C22" s="9" t="s">
        <v>22</v>
      </c>
      <c r="D22" s="9"/>
    </row>
    <row r="24" customFormat="false" ht="15" hidden="false" customHeight="true" outlineLevel="0" collapsed="false">
      <c r="B24" s="7" t="s">
        <v>23</v>
      </c>
      <c r="C24" s="7"/>
      <c r="D24" s="7"/>
    </row>
    <row r="25" customFormat="false" ht="15" hidden="false" customHeight="true" outlineLevel="0" collapsed="false">
      <c r="B25" s="10"/>
      <c r="C25" s="11" t="s">
        <v>24</v>
      </c>
      <c r="D25" s="11"/>
    </row>
    <row r="26" customFormat="false" ht="15" hidden="false" customHeight="true" outlineLevel="0" collapsed="false">
      <c r="B26" s="12"/>
      <c r="C26" s="11" t="s">
        <v>25</v>
      </c>
      <c r="D26" s="11"/>
    </row>
    <row r="27" customFormat="false" ht="15" hidden="false" customHeight="true" outlineLevel="0" collapsed="false">
      <c r="B27" s="13"/>
      <c r="C27" s="11" t="s">
        <v>26</v>
      </c>
      <c r="D27" s="11"/>
    </row>
    <row r="28" customFormat="false" ht="15" hidden="false" customHeight="true" outlineLevel="0" collapsed="false">
      <c r="B28" s="14"/>
      <c r="C28" s="11" t="s">
        <v>27</v>
      </c>
      <c r="D28" s="11"/>
    </row>
    <row r="29" customFormat="false" ht="15" hidden="false" customHeight="true" outlineLevel="0" collapsed="false">
      <c r="B29" s="6"/>
      <c r="C29" s="11" t="s">
        <v>28</v>
      </c>
      <c r="D29" s="11"/>
    </row>
    <row r="30" customFormat="false" ht="15" hidden="false" customHeight="true" outlineLevel="0" collapsed="false">
      <c r="B30" s="15"/>
      <c r="C30" s="11" t="s">
        <v>29</v>
      </c>
      <c r="D30" s="11"/>
    </row>
    <row r="31" customFormat="false" ht="15" hidden="false" customHeight="true" outlineLevel="0" collapsed="false">
      <c r="B31" s="16" t="s">
        <v>30</v>
      </c>
      <c r="C31" s="11" t="s">
        <v>31</v>
      </c>
      <c r="D31" s="11"/>
    </row>
    <row r="32" customFormat="false" ht="15" hidden="false" customHeight="true" outlineLevel="0" collapsed="false">
      <c r="B32" s="5" t="s">
        <v>32</v>
      </c>
      <c r="C32" s="11" t="s">
        <v>33</v>
      </c>
      <c r="D32" s="11"/>
    </row>
    <row r="33" customFormat="false" ht="15" hidden="false" customHeight="true" outlineLevel="0" collapsed="false">
      <c r="B33" s="17" t="s">
        <v>34</v>
      </c>
      <c r="C33" s="11" t="s">
        <v>35</v>
      </c>
      <c r="D33" s="11"/>
    </row>
  </sheetData>
  <mergeCells count="22">
    <mergeCell ref="B3:D3"/>
    <mergeCell ref="B4:D4"/>
    <mergeCell ref="C6:D6"/>
    <mergeCell ref="C7:D7"/>
    <mergeCell ref="C8:D8"/>
    <mergeCell ref="B11:D13"/>
    <mergeCell ref="C16:D16"/>
    <mergeCell ref="C17:D17"/>
    <mergeCell ref="C18:D18"/>
    <mergeCell ref="C19:D19"/>
    <mergeCell ref="C20:D20"/>
    <mergeCell ref="C21:D21"/>
    <mergeCell ref="C22:D22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34"/>
  </cols>
  <sheetData>
    <row r="2" customFormat="false" ht="15.75" hidden="false" customHeight="true" outlineLevel="0" collapsed="false">
      <c r="B2" s="18" t="s">
        <v>36</v>
      </c>
      <c r="C2" s="18"/>
      <c r="D2" s="18"/>
      <c r="E2" s="18"/>
    </row>
    <row r="3" customFormat="false" ht="33.75" hidden="false" customHeight="true" outlineLevel="0" collapsed="false">
      <c r="B3" s="19" t="s">
        <v>37</v>
      </c>
      <c r="C3" s="19"/>
      <c r="D3" s="19"/>
      <c r="E3" s="19"/>
    </row>
    <row r="5" customFormat="false" ht="15" hidden="false" customHeight="true" outlineLevel="0" collapsed="false">
      <c r="B5" s="20" t="s">
        <v>38</v>
      </c>
      <c r="C5" s="20"/>
      <c r="D5" s="20"/>
      <c r="E5" s="20"/>
    </row>
    <row r="6" customFormat="false" ht="15" hidden="false" customHeight="true" outlineLevel="0" collapsed="false">
      <c r="B6" s="14" t="s">
        <v>39</v>
      </c>
      <c r="C6" s="21" t="s">
        <v>40</v>
      </c>
      <c r="D6" s="14"/>
      <c r="E6" s="22" t="s">
        <v>41</v>
      </c>
    </row>
    <row r="7" customFormat="false" ht="15" hidden="false" customHeight="true" outlineLevel="0" collapsed="false">
      <c r="B7" s="14" t="s">
        <v>42</v>
      </c>
      <c r="C7" s="21" t="s">
        <v>43</v>
      </c>
      <c r="D7" s="14"/>
      <c r="E7" s="22" t="s">
        <v>41</v>
      </c>
    </row>
    <row r="8" customFormat="false" ht="15" hidden="false" customHeight="true" outlineLevel="0" collapsed="false">
      <c r="B8" s="14" t="s">
        <v>44</v>
      </c>
      <c r="C8" s="21" t="s">
        <v>45</v>
      </c>
      <c r="D8" s="14"/>
      <c r="E8" s="22" t="s">
        <v>41</v>
      </c>
    </row>
    <row r="9" customFormat="false" ht="15" hidden="false" customHeight="true" outlineLevel="0" collapsed="false">
      <c r="B9" s="14" t="s">
        <v>46</v>
      </c>
      <c r="C9" s="21" t="s">
        <v>47</v>
      </c>
      <c r="D9" s="14"/>
      <c r="E9" s="22" t="s">
        <v>41</v>
      </c>
    </row>
    <row r="10" customFormat="false" ht="15" hidden="false" customHeight="true" outlineLevel="0" collapsed="false">
      <c r="B10" s="23"/>
      <c r="C10" s="23"/>
      <c r="D10" s="23"/>
      <c r="E10" s="23"/>
    </row>
    <row r="11" customFormat="false" ht="15" hidden="false" customHeight="true" outlineLevel="0" collapsed="false">
      <c r="B11" s="20" t="s">
        <v>48</v>
      </c>
      <c r="C11" s="20"/>
      <c r="D11" s="20"/>
      <c r="E11" s="20"/>
    </row>
    <row r="12" customFormat="false" ht="27.75" hidden="false" customHeight="true" outlineLevel="0" collapsed="false">
      <c r="B12" s="24" t="s">
        <v>49</v>
      </c>
      <c r="C12" s="25" t="s">
        <v>50</v>
      </c>
      <c r="D12" s="23"/>
      <c r="E12" s="22" t="s">
        <v>41</v>
      </c>
    </row>
    <row r="13" customFormat="false" ht="27.75" hidden="false" customHeight="true" outlineLevel="0" collapsed="false">
      <c r="B13" s="24" t="s">
        <v>51</v>
      </c>
      <c r="C13" s="25" t="s">
        <v>52</v>
      </c>
      <c r="D13" s="23"/>
      <c r="E13" s="22" t="s">
        <v>41</v>
      </c>
    </row>
    <row r="14" customFormat="false" ht="27.75" hidden="false" customHeight="true" outlineLevel="0" collapsed="false">
      <c r="B14" s="24" t="s">
        <v>53</v>
      </c>
      <c r="C14" s="25" t="s">
        <v>54</v>
      </c>
      <c r="D14" s="23"/>
      <c r="E14" s="22" t="s">
        <v>41</v>
      </c>
    </row>
    <row r="15" customFormat="false" ht="27.75" hidden="false" customHeight="true" outlineLevel="0" collapsed="false">
      <c r="B15" s="24" t="s">
        <v>55</v>
      </c>
      <c r="C15" s="25" t="s">
        <v>56</v>
      </c>
      <c r="D15" s="23"/>
      <c r="E15" s="22" t="s">
        <v>41</v>
      </c>
    </row>
    <row r="16" customFormat="false" ht="27.75" hidden="false" customHeight="true" outlineLevel="0" collapsed="false">
      <c r="B16" s="24" t="s">
        <v>57</v>
      </c>
      <c r="C16" s="25" t="s">
        <v>58</v>
      </c>
      <c r="D16" s="23"/>
      <c r="E16" s="22" t="s">
        <v>41</v>
      </c>
    </row>
    <row r="17" customFormat="false" ht="15" hidden="false" customHeight="true" outlineLevel="0" collapsed="false">
      <c r="B17" s="23"/>
      <c r="C17" s="23"/>
      <c r="D17" s="23"/>
      <c r="E17" s="23"/>
    </row>
    <row r="18" customFormat="false" ht="15" hidden="false" customHeight="true" outlineLevel="0" collapsed="false">
      <c r="B18" s="20" t="s">
        <v>59</v>
      </c>
      <c r="C18" s="20"/>
      <c r="D18" s="20"/>
      <c r="E18" s="20"/>
    </row>
    <row r="19" customFormat="false" ht="25.5" hidden="false" customHeight="true" outlineLevel="0" collapsed="false">
      <c r="B19" s="24" t="s">
        <v>60</v>
      </c>
      <c r="C19" s="25" t="s">
        <v>61</v>
      </c>
      <c r="D19" s="23"/>
      <c r="E19" s="22" t="s">
        <v>62</v>
      </c>
    </row>
    <row r="20" customFormat="false" ht="25.5" hidden="false" customHeight="true" outlineLevel="0" collapsed="false">
      <c r="B20" s="24" t="s">
        <v>63</v>
      </c>
      <c r="C20" s="25" t="s">
        <v>64</v>
      </c>
      <c r="D20" s="23"/>
      <c r="E20" s="22" t="s">
        <v>62</v>
      </c>
    </row>
    <row r="21" customFormat="false" ht="15" hidden="false" customHeight="true" outlineLevel="0" collapsed="false">
      <c r="B21" s="23"/>
      <c r="C21" s="23"/>
      <c r="D21" s="23"/>
      <c r="E21" s="23"/>
    </row>
    <row r="22" customFormat="false" ht="15" hidden="false" customHeight="true" outlineLevel="0" collapsed="false">
      <c r="B22" s="20" t="s">
        <v>65</v>
      </c>
      <c r="C22" s="20"/>
      <c r="D22" s="20"/>
      <c r="E22" s="20"/>
    </row>
    <row r="23" customFormat="false" ht="25.5" hidden="false" customHeight="true" outlineLevel="0" collapsed="false">
      <c r="B23" s="24" t="s">
        <v>66</v>
      </c>
      <c r="C23" s="24" t="s">
        <v>67</v>
      </c>
      <c r="D23" s="23"/>
      <c r="E23" s="22" t="s">
        <v>68</v>
      </c>
    </row>
    <row r="24" customFormat="false" ht="25.5" hidden="false" customHeight="true" outlineLevel="0" collapsed="false">
      <c r="B24" s="24" t="s">
        <v>69</v>
      </c>
      <c r="C24" s="24" t="s">
        <v>70</v>
      </c>
      <c r="D24" s="23"/>
      <c r="E24" s="22" t="s">
        <v>68</v>
      </c>
    </row>
    <row r="25" customFormat="false" ht="25.5" hidden="false" customHeight="true" outlineLevel="0" collapsed="false">
      <c r="B25" s="24" t="s">
        <v>71</v>
      </c>
      <c r="C25" s="24" t="s">
        <v>72</v>
      </c>
      <c r="D25" s="23"/>
      <c r="E25" s="22" t="s">
        <v>68</v>
      </c>
    </row>
    <row r="26" customFormat="false" ht="15" hidden="false" customHeight="true" outlineLevel="0" collapsed="false">
      <c r="B26" s="23"/>
      <c r="C26" s="23"/>
      <c r="D26" s="23"/>
      <c r="E26" s="23"/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6"/>
    <col collapsed="false" customWidth="true" hidden="false" outlineLevel="0" max="8" min="8" style="1" width="42"/>
  </cols>
  <sheetData>
    <row r="2" customFormat="false" ht="15" hidden="false" customHeight="true" outlineLevel="0" collapsed="false">
      <c r="B2" s="26" t="s">
        <v>73</v>
      </c>
      <c r="C2" s="26"/>
      <c r="D2" s="26"/>
      <c r="E2" s="26"/>
      <c r="F2" s="26"/>
      <c r="G2" s="26"/>
      <c r="H2" s="26"/>
    </row>
    <row r="3" customFormat="false" ht="15" hidden="false" customHeight="true" outlineLevel="0" collapsed="false">
      <c r="B3" s="19" t="s">
        <v>74</v>
      </c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B5" s="27" t="s">
        <v>75</v>
      </c>
      <c r="C5" s="27" t="s">
        <v>76</v>
      </c>
      <c r="D5" s="27" t="s">
        <v>77</v>
      </c>
      <c r="E5" s="27" t="s">
        <v>78</v>
      </c>
      <c r="F5" s="27" t="s">
        <v>79</v>
      </c>
      <c r="G5" s="27" t="s">
        <v>80</v>
      </c>
      <c r="H5" s="27" t="s">
        <v>81</v>
      </c>
    </row>
    <row r="6" customFormat="false" ht="32.25" hidden="false" customHeight="true" outlineLevel="0" collapsed="false">
      <c r="B6" s="13" t="s">
        <v>82</v>
      </c>
      <c r="C6" s="28" t="n">
        <v>1000</v>
      </c>
      <c r="D6" s="29" t="n">
        <v>50</v>
      </c>
      <c r="E6" s="29" t="n">
        <v>60</v>
      </c>
      <c r="F6" s="30" t="n">
        <f aca="false">C6*D6</f>
        <v>50000</v>
      </c>
      <c r="G6" s="30" t="n">
        <f aca="false">C6*(E6-D6)</f>
        <v>10000</v>
      </c>
      <c r="H6" s="31" t="s">
        <v>83</v>
      </c>
    </row>
    <row r="7" customFormat="false" ht="21.75" hidden="false" customHeight="true" outlineLevel="0" collapsed="false">
      <c r="B7" s="13" t="s">
        <v>84</v>
      </c>
      <c r="C7" s="28" t="n">
        <v>10000</v>
      </c>
      <c r="D7" s="29" t="n">
        <v>100</v>
      </c>
      <c r="E7" s="29" t="n">
        <v>120</v>
      </c>
      <c r="F7" s="30" t="n">
        <f aca="false">C7*D7</f>
        <v>1000000</v>
      </c>
      <c r="G7" s="30" t="n">
        <f aca="false">C7*(E7-D7)</f>
        <v>200000</v>
      </c>
      <c r="H7" s="31" t="s">
        <v>85</v>
      </c>
    </row>
    <row r="8" customFormat="false" ht="15" hidden="false" customHeight="true" outlineLevel="0" collapsed="false">
      <c r="B8" s="5" t="s">
        <v>86</v>
      </c>
      <c r="F8" s="32" t="n">
        <f aca="false">SUM(F6:F7)</f>
        <v>1050000</v>
      </c>
      <c r="G8" s="32" t="n">
        <f aca="false">SUM(G6:G7)</f>
        <v>210000</v>
      </c>
    </row>
    <row r="9" customFormat="false" ht="15" hidden="false" customHeight="true" outlineLevel="0" collapsed="false">
      <c r="B9" s="5" t="s">
        <v>87</v>
      </c>
      <c r="C9" s="5"/>
      <c r="D9" s="5"/>
      <c r="E9" s="5"/>
      <c r="F9" s="32" t="n">
        <f aca="false">F8+G8</f>
        <v>1260000</v>
      </c>
      <c r="G9" s="32"/>
    </row>
    <row r="12" customFormat="false" ht="15" hidden="false" customHeight="true" outlineLevel="0" collapsed="false">
      <c r="B12" s="33" t="s">
        <v>88</v>
      </c>
      <c r="C12" s="33"/>
      <c r="D12" s="33"/>
      <c r="E12" s="33"/>
      <c r="F12" s="33"/>
      <c r="G12" s="33"/>
      <c r="H12" s="33"/>
    </row>
    <row r="13" customFormat="false" ht="15" hidden="false" customHeight="true" outlineLevel="0" collapsed="false">
      <c r="B13" s="11" t="s">
        <v>89</v>
      </c>
      <c r="D13" s="29" t="n">
        <v>200000</v>
      </c>
    </row>
    <row r="14" customFormat="false" ht="15" hidden="false" customHeight="true" outlineLevel="0" collapsed="false">
      <c r="B14" s="11" t="s">
        <v>90</v>
      </c>
      <c r="C14" s="28" t="n">
        <v>12000</v>
      </c>
      <c r="D14" s="30" t="n">
        <f aca="false">C14*D7</f>
        <v>1200000</v>
      </c>
      <c r="E14" s="31" t="s">
        <v>91</v>
      </c>
      <c r="F14" s="31"/>
      <c r="G14" s="31"/>
      <c r="H14" s="31"/>
    </row>
  </sheetData>
  <mergeCells count="4">
    <mergeCell ref="B3:H3"/>
    <mergeCell ref="B9:E9"/>
    <mergeCell ref="F9:G9"/>
    <mergeCell ref="E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6"/>
    <col collapsed="false" customWidth="true" hidden="false" outlineLevel="0" max="8" min="8" style="1" width="42"/>
  </cols>
  <sheetData>
    <row r="2" customFormat="false" ht="15" hidden="false" customHeight="true" outlineLevel="0" collapsed="false">
      <c r="B2" s="26" t="s">
        <v>92</v>
      </c>
      <c r="C2" s="26"/>
      <c r="D2" s="26"/>
      <c r="E2" s="26"/>
      <c r="F2" s="26"/>
      <c r="G2" s="26"/>
      <c r="H2" s="26"/>
    </row>
    <row r="3" customFormat="false" ht="30" hidden="false" customHeight="true" outlineLevel="0" collapsed="false">
      <c r="B3" s="19" t="s">
        <v>93</v>
      </c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B5" s="27" t="s">
        <v>75</v>
      </c>
      <c r="C5" s="27" t="s">
        <v>76</v>
      </c>
      <c r="D5" s="27" t="s">
        <v>77</v>
      </c>
      <c r="E5" s="27" t="s">
        <v>78</v>
      </c>
      <c r="F5" s="27" t="s">
        <v>79</v>
      </c>
      <c r="G5" s="27" t="s">
        <v>80</v>
      </c>
      <c r="H5" s="27" t="s">
        <v>81</v>
      </c>
    </row>
    <row r="6" customFormat="false" ht="15" hidden="false" customHeight="true" outlineLevel="0" collapsed="false">
      <c r="B6" s="13" t="s">
        <v>82</v>
      </c>
      <c r="C6" s="28" t="n">
        <v>2500</v>
      </c>
      <c r="D6" s="29" t="n">
        <v>40</v>
      </c>
      <c r="E6" s="29" t="n">
        <v>47</v>
      </c>
      <c r="F6" s="6"/>
      <c r="G6" s="6"/>
      <c r="H6" s="34" t="s">
        <v>94</v>
      </c>
    </row>
    <row r="7" customFormat="false" ht="15" hidden="false" customHeight="true" outlineLevel="0" collapsed="false">
      <c r="B7" s="13" t="s">
        <v>84</v>
      </c>
      <c r="C7" s="28" t="n">
        <v>15000</v>
      </c>
      <c r="D7" s="29" t="n">
        <v>15</v>
      </c>
      <c r="E7" s="29" t="n">
        <v>19</v>
      </c>
      <c r="F7" s="6"/>
      <c r="G7" s="6"/>
      <c r="H7" s="34" t="s">
        <v>95</v>
      </c>
    </row>
    <row r="8" customFormat="false" ht="15" hidden="false" customHeight="true" outlineLevel="0" collapsed="false">
      <c r="B8" s="5" t="s">
        <v>86</v>
      </c>
      <c r="F8" s="6"/>
      <c r="G8" s="6"/>
    </row>
    <row r="9" customFormat="false" ht="15" hidden="false" customHeight="true" outlineLevel="0" collapsed="false">
      <c r="B9" s="5" t="s">
        <v>87</v>
      </c>
      <c r="C9" s="5"/>
      <c r="D9" s="5"/>
      <c r="E9" s="5"/>
      <c r="F9" s="6"/>
      <c r="G9" s="6"/>
    </row>
    <row r="12" customFormat="false" ht="15" hidden="false" customHeight="true" outlineLevel="0" collapsed="false">
      <c r="B12" s="33" t="s">
        <v>96</v>
      </c>
      <c r="C12" s="33"/>
      <c r="D12" s="33"/>
      <c r="E12" s="33"/>
      <c r="F12" s="33"/>
      <c r="G12" s="33"/>
      <c r="H12" s="33"/>
    </row>
    <row r="13" customFormat="false" ht="15" hidden="false" customHeight="true" outlineLevel="0" collapsed="false">
      <c r="B13" s="11" t="s">
        <v>89</v>
      </c>
      <c r="D13" s="29" t="n">
        <v>60000</v>
      </c>
    </row>
    <row r="14" customFormat="false" ht="15" hidden="false" customHeight="true" outlineLevel="0" collapsed="false">
      <c r="B14" s="11" t="s">
        <v>90</v>
      </c>
      <c r="C14" s="28" t="n">
        <v>9000</v>
      </c>
      <c r="D14" s="6"/>
      <c r="E14" s="34" t="s">
        <v>97</v>
      </c>
      <c r="F14" s="34"/>
      <c r="G14" s="34"/>
      <c r="H14" s="34"/>
    </row>
  </sheetData>
  <mergeCells count="4">
    <mergeCell ref="B3:H3"/>
    <mergeCell ref="B9:E9"/>
    <mergeCell ref="F9:G9"/>
    <mergeCell ref="E14:H14"/>
  </mergeCells>
  <dataValidations count="1">
    <dataValidation allowBlank="true" errorStyle="stop" operator="between" showDropDown="false" showErrorMessage="false" showInputMessage="false" sqref="B6:B7" type="list">
      <formula1>"Preferente,Común"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38"/>
    <col collapsed="false" customWidth="true" hidden="false" outlineLevel="0" max="4" min="4" style="1" width="8"/>
    <col collapsed="false" customWidth="true" hidden="false" outlineLevel="0" max="6" min="5" style="1" width="16"/>
  </cols>
  <sheetData>
    <row r="2" customFormat="false" ht="15" hidden="false" customHeight="true" outlineLevel="0" collapsed="false">
      <c r="B2" s="26" t="s">
        <v>98</v>
      </c>
      <c r="C2" s="26"/>
      <c r="D2" s="26"/>
      <c r="E2" s="26"/>
      <c r="F2" s="26"/>
    </row>
    <row r="4" customFormat="false" ht="15" hidden="false" customHeight="true" outlineLevel="0" collapsed="false">
      <c r="B4" s="35" t="s">
        <v>99</v>
      </c>
      <c r="C4" s="35"/>
      <c r="D4" s="35"/>
      <c r="E4" s="35"/>
      <c r="F4" s="35"/>
    </row>
    <row r="5" customFormat="false" ht="15" hidden="false" customHeight="true" outlineLevel="0" collapsed="false">
      <c r="B5" s="33" t="s">
        <v>100</v>
      </c>
      <c r="C5" s="33" t="s">
        <v>101</v>
      </c>
      <c r="D5" s="33" t="s">
        <v>102</v>
      </c>
      <c r="E5" s="33" t="s">
        <v>103</v>
      </c>
      <c r="F5" s="33" t="s">
        <v>104</v>
      </c>
    </row>
    <row r="6" customFormat="false" ht="15" hidden="false" customHeight="true" outlineLevel="0" collapsed="false">
      <c r="B6" s="11" t="s">
        <v>105</v>
      </c>
      <c r="C6" s="11" t="s">
        <v>106</v>
      </c>
      <c r="D6" s="10" t="s">
        <v>107</v>
      </c>
      <c r="E6" s="30" t="n">
        <f aca="false">'3 Calculo Emision'!F9</f>
        <v>1260000</v>
      </c>
      <c r="F6" s="36"/>
    </row>
    <row r="7" customFormat="false" ht="15" hidden="false" customHeight="true" outlineLevel="0" collapsed="false">
      <c r="C7" s="11" t="s">
        <v>108</v>
      </c>
      <c r="D7" s="13" t="s">
        <v>109</v>
      </c>
      <c r="E7" s="36"/>
      <c r="F7" s="30" t="n">
        <f aca="false">'3 Calculo Emision'!F6</f>
        <v>50000</v>
      </c>
    </row>
    <row r="8" customFormat="false" ht="15" hidden="false" customHeight="true" outlineLevel="0" collapsed="false">
      <c r="C8" s="11" t="s">
        <v>110</v>
      </c>
      <c r="D8" s="13" t="s">
        <v>109</v>
      </c>
      <c r="F8" s="30" t="n">
        <f aca="false">'3 Calculo Emision'!G6</f>
        <v>10000</v>
      </c>
    </row>
    <row r="9" customFormat="false" ht="15" hidden="false" customHeight="true" outlineLevel="0" collapsed="false">
      <c r="C9" s="11" t="s">
        <v>111</v>
      </c>
      <c r="D9" s="13" t="s">
        <v>109</v>
      </c>
      <c r="F9" s="30" t="n">
        <f aca="false">'3 Calculo Emision'!F7</f>
        <v>1000000</v>
      </c>
    </row>
    <row r="10" customFormat="false" ht="15" hidden="false" customHeight="true" outlineLevel="0" collapsed="false">
      <c r="C10" s="11" t="s">
        <v>112</v>
      </c>
      <c r="D10" s="13" t="s">
        <v>109</v>
      </c>
      <c r="F10" s="30" t="n">
        <f aca="false">'3 Calculo Emision'!G7</f>
        <v>200000</v>
      </c>
    </row>
    <row r="11" customFormat="false" ht="15" hidden="false" customHeight="true" outlineLevel="0" collapsed="false">
      <c r="C11" s="37" t="s">
        <v>113</v>
      </c>
      <c r="D11" s="37"/>
      <c r="E11" s="37"/>
      <c r="F11" s="37"/>
    </row>
    <row r="14" customFormat="false" ht="15" hidden="false" customHeight="true" outlineLevel="0" collapsed="false">
      <c r="B14" s="35" t="s">
        <v>114</v>
      </c>
      <c r="C14" s="35"/>
      <c r="D14" s="35"/>
      <c r="E14" s="35"/>
      <c r="F14" s="35"/>
    </row>
    <row r="15" customFormat="false" ht="15" hidden="false" customHeight="true" outlineLevel="0" collapsed="false">
      <c r="B15" s="11" t="s">
        <v>115</v>
      </c>
      <c r="C15" s="38" t="n">
        <v>2000</v>
      </c>
    </row>
    <row r="16" customFormat="false" ht="15" hidden="false" customHeight="true" outlineLevel="0" collapsed="false">
      <c r="B16" s="11" t="s">
        <v>116</v>
      </c>
      <c r="C16" s="39" t="n">
        <v>50</v>
      </c>
    </row>
    <row r="17" customFormat="false" ht="15" hidden="false" customHeight="true" outlineLevel="0" collapsed="false">
      <c r="B17" s="11" t="s">
        <v>117</v>
      </c>
      <c r="C17" s="40" t="n">
        <v>0.06</v>
      </c>
    </row>
    <row r="18" customFormat="false" ht="15" hidden="false" customHeight="true" outlineLevel="0" collapsed="false">
      <c r="B18" s="11" t="s">
        <v>118</v>
      </c>
      <c r="C18" s="40" t="n">
        <v>0.05</v>
      </c>
    </row>
    <row r="19" customFormat="false" ht="15" hidden="false" customHeight="true" outlineLevel="0" collapsed="false">
      <c r="B19" s="5" t="s">
        <v>119</v>
      </c>
      <c r="C19" s="32" t="n">
        <f aca="false">C15*C16*C17</f>
        <v>6000</v>
      </c>
    </row>
    <row r="21" customFormat="false" ht="15" hidden="false" customHeight="true" outlineLevel="0" collapsed="false">
      <c r="B21" s="33" t="s">
        <v>100</v>
      </c>
      <c r="C21" s="33" t="s">
        <v>101</v>
      </c>
      <c r="D21" s="33" t="s">
        <v>102</v>
      </c>
      <c r="E21" s="33" t="s">
        <v>103</v>
      </c>
      <c r="F21" s="33" t="s">
        <v>104</v>
      </c>
    </row>
    <row r="22" customFormat="false" ht="15" hidden="false" customHeight="true" outlineLevel="0" collapsed="false">
      <c r="B22" s="11" t="s">
        <v>120</v>
      </c>
      <c r="C22" s="11" t="s">
        <v>121</v>
      </c>
      <c r="D22" s="13" t="s">
        <v>109</v>
      </c>
      <c r="E22" s="30" t="n">
        <f aca="false">C19</f>
        <v>6000</v>
      </c>
    </row>
    <row r="23" customFormat="false" ht="15" hidden="false" customHeight="true" outlineLevel="0" collapsed="false">
      <c r="C23" s="11" t="s">
        <v>122</v>
      </c>
      <c r="D23" s="12" t="s">
        <v>123</v>
      </c>
      <c r="F23" s="30" t="n">
        <f aca="false">C19</f>
        <v>6000</v>
      </c>
    </row>
    <row r="24" customFormat="false" ht="15" hidden="false" customHeight="true" outlineLevel="0" collapsed="false">
      <c r="C24" s="37" t="s">
        <v>124</v>
      </c>
      <c r="D24" s="37"/>
      <c r="E24" s="37"/>
      <c r="F24" s="37"/>
    </row>
    <row r="26" customFormat="false" ht="15" hidden="false" customHeight="true" outlineLevel="0" collapsed="false">
      <c r="B26" s="11" t="s">
        <v>125</v>
      </c>
      <c r="C26" s="11" t="s">
        <v>126</v>
      </c>
      <c r="D26" s="12" t="s">
        <v>123</v>
      </c>
      <c r="E26" s="30" t="n">
        <f aca="false">C19</f>
        <v>6000</v>
      </c>
    </row>
    <row r="27" customFormat="false" ht="15" hidden="false" customHeight="true" outlineLevel="0" collapsed="false">
      <c r="C27" s="11" t="s">
        <v>127</v>
      </c>
      <c r="D27" s="12" t="s">
        <v>123</v>
      </c>
      <c r="F27" s="30" t="n">
        <f aca="false">C19*C18</f>
        <v>300</v>
      </c>
    </row>
    <row r="28" customFormat="false" ht="15" hidden="false" customHeight="true" outlineLevel="0" collapsed="false">
      <c r="C28" s="11" t="s">
        <v>128</v>
      </c>
      <c r="D28" s="10" t="s">
        <v>107</v>
      </c>
      <c r="F28" s="30" t="n">
        <f aca="false">C19-F27</f>
        <v>5700</v>
      </c>
    </row>
    <row r="29" customFormat="false" ht="15" hidden="false" customHeight="true" outlineLevel="0" collapsed="false">
      <c r="C29" s="37" t="s">
        <v>129</v>
      </c>
      <c r="D29" s="37"/>
      <c r="E29" s="37"/>
      <c r="F29" s="37"/>
    </row>
  </sheetData>
  <mergeCells count="3">
    <mergeCell ref="C11:F11"/>
    <mergeCell ref="C24:F24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38"/>
    <col collapsed="false" customWidth="true" hidden="false" outlineLevel="0" max="4" min="4" style="1" width="8"/>
    <col collapsed="false" customWidth="true" hidden="false" outlineLevel="0" max="6" min="5" style="1" width="16"/>
  </cols>
  <sheetData>
    <row r="2" customFormat="false" ht="15" hidden="false" customHeight="true" outlineLevel="0" collapsed="false">
      <c r="B2" s="26" t="s">
        <v>130</v>
      </c>
      <c r="C2" s="26"/>
      <c r="D2" s="26"/>
      <c r="E2" s="26"/>
      <c r="F2" s="26"/>
    </row>
    <row r="4" customFormat="false" ht="15" hidden="false" customHeight="true" outlineLevel="0" collapsed="false">
      <c r="B4" s="35" t="s">
        <v>131</v>
      </c>
      <c r="C4" s="35"/>
      <c r="D4" s="35"/>
      <c r="E4" s="35"/>
      <c r="F4" s="35"/>
    </row>
    <row r="5" customFormat="false" ht="15" hidden="false" customHeight="true" outlineLevel="0" collapsed="false">
      <c r="B5" s="33" t="s">
        <v>100</v>
      </c>
      <c r="C5" s="33" t="s">
        <v>101</v>
      </c>
      <c r="D5" s="33" t="s">
        <v>102</v>
      </c>
      <c r="E5" s="33" t="s">
        <v>103</v>
      </c>
      <c r="F5" s="33" t="s">
        <v>104</v>
      </c>
    </row>
    <row r="6" customFormat="false" ht="15" hidden="false" customHeight="true" outlineLevel="0" collapsed="false">
      <c r="B6" s="11" t="s">
        <v>132</v>
      </c>
      <c r="C6" s="11" t="s">
        <v>106</v>
      </c>
      <c r="D6" s="6"/>
      <c r="E6" s="6"/>
      <c r="F6" s="6"/>
    </row>
    <row r="7" customFormat="false" ht="15" hidden="false" customHeight="true" outlineLevel="0" collapsed="false">
      <c r="B7" s="11"/>
      <c r="C7" s="11" t="s">
        <v>108</v>
      </c>
      <c r="D7" s="6"/>
      <c r="E7" s="6"/>
      <c r="F7" s="6"/>
    </row>
    <row r="8" customFormat="false" ht="15" hidden="false" customHeight="true" outlineLevel="0" collapsed="false">
      <c r="B8" s="11"/>
      <c r="C8" s="11" t="s">
        <v>110</v>
      </c>
      <c r="D8" s="6"/>
      <c r="E8" s="6"/>
      <c r="F8" s="6"/>
    </row>
    <row r="9" customFormat="false" ht="15" hidden="false" customHeight="true" outlineLevel="0" collapsed="false">
      <c r="B9" s="11"/>
      <c r="C9" s="11" t="s">
        <v>111</v>
      </c>
      <c r="D9" s="6"/>
      <c r="E9" s="6"/>
      <c r="F9" s="6"/>
    </row>
    <row r="10" customFormat="false" ht="15" hidden="false" customHeight="true" outlineLevel="0" collapsed="false">
      <c r="B10" s="11"/>
      <c r="C10" s="11" t="s">
        <v>112</v>
      </c>
      <c r="D10" s="6"/>
      <c r="E10" s="6"/>
      <c r="F10" s="6"/>
    </row>
    <row r="11" customFormat="false" ht="15" hidden="false" customHeight="true" outlineLevel="0" collapsed="false">
      <c r="C11" s="37" t="s">
        <v>133</v>
      </c>
      <c r="D11" s="37"/>
      <c r="E11" s="37"/>
      <c r="F11" s="37"/>
    </row>
    <row r="14" customFormat="false" ht="15" hidden="false" customHeight="true" outlineLevel="0" collapsed="false">
      <c r="B14" s="35" t="s">
        <v>134</v>
      </c>
      <c r="C14" s="35"/>
      <c r="D14" s="35"/>
      <c r="E14" s="35"/>
      <c r="F14" s="35"/>
    </row>
    <row r="15" customFormat="false" ht="15" hidden="false" customHeight="true" outlineLevel="0" collapsed="false">
      <c r="B15" s="11" t="s">
        <v>115</v>
      </c>
      <c r="C15" s="6"/>
    </row>
    <row r="16" customFormat="false" ht="15" hidden="false" customHeight="true" outlineLevel="0" collapsed="false">
      <c r="B16" s="11" t="s">
        <v>116</v>
      </c>
      <c r="C16" s="6"/>
    </row>
    <row r="17" customFormat="false" ht="15" hidden="false" customHeight="true" outlineLevel="0" collapsed="false">
      <c r="B17" s="11" t="s">
        <v>135</v>
      </c>
      <c r="C17" s="6"/>
    </row>
    <row r="18" customFormat="false" ht="15" hidden="false" customHeight="true" outlineLevel="0" collapsed="false">
      <c r="B18" s="11" t="s">
        <v>136</v>
      </c>
      <c r="C18" s="6"/>
    </row>
    <row r="19" customFormat="false" ht="15" hidden="false" customHeight="true" outlineLevel="0" collapsed="false">
      <c r="B19" s="5" t="s">
        <v>119</v>
      </c>
      <c r="C19" s="6"/>
    </row>
    <row r="21" customFormat="false" ht="15" hidden="false" customHeight="true" outlineLevel="0" collapsed="false">
      <c r="B21" s="33" t="s">
        <v>100</v>
      </c>
      <c r="C21" s="33" t="s">
        <v>101</v>
      </c>
      <c r="D21" s="33" t="s">
        <v>102</v>
      </c>
      <c r="E21" s="33" t="s">
        <v>103</v>
      </c>
      <c r="F21" s="33" t="s">
        <v>104</v>
      </c>
    </row>
    <row r="22" customFormat="false" ht="15" hidden="false" customHeight="true" outlineLevel="0" collapsed="false">
      <c r="C22" s="11" t="s">
        <v>121</v>
      </c>
      <c r="D22" s="6"/>
      <c r="E22" s="6"/>
      <c r="F22" s="6"/>
    </row>
    <row r="23" customFormat="false" ht="15" hidden="false" customHeight="true" outlineLevel="0" collapsed="false">
      <c r="C23" s="11" t="s">
        <v>122</v>
      </c>
      <c r="D23" s="6"/>
      <c r="E23" s="6"/>
      <c r="F23" s="6"/>
    </row>
    <row r="25" customFormat="false" ht="15" hidden="false" customHeight="true" outlineLevel="0" collapsed="false">
      <c r="C25" s="11" t="s">
        <v>126</v>
      </c>
      <c r="D25" s="6"/>
      <c r="E25" s="6"/>
      <c r="F25" s="6"/>
    </row>
    <row r="26" customFormat="false" ht="15" hidden="false" customHeight="true" outlineLevel="0" collapsed="false">
      <c r="C26" s="11" t="s">
        <v>137</v>
      </c>
      <c r="D26" s="6"/>
      <c r="E26" s="6"/>
      <c r="F26" s="6"/>
    </row>
    <row r="27" customFormat="false" ht="15" hidden="false" customHeight="true" outlineLevel="0" collapsed="false">
      <c r="C27" s="11" t="s">
        <v>128</v>
      </c>
      <c r="D27" s="6"/>
      <c r="E27" s="6"/>
      <c r="F27" s="6"/>
    </row>
  </sheetData>
  <mergeCells count="1">
    <mergeCell ref="C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4"/>
  </cols>
  <sheetData>
    <row r="2" customFormat="false" ht="15" hidden="false" customHeight="true" outlineLevel="0" collapsed="false">
      <c r="B2" s="26" t="s">
        <v>138</v>
      </c>
      <c r="C2" s="26"/>
    </row>
    <row r="3" customFormat="false" ht="23.25" hidden="false" customHeight="true" outlineLevel="0" collapsed="false">
      <c r="B3" s="19" t="s">
        <v>139</v>
      </c>
      <c r="C3" s="19"/>
    </row>
    <row r="5" customFormat="false" ht="15" hidden="false" customHeight="true" outlineLevel="0" collapsed="false">
      <c r="B5" s="7" t="s">
        <v>140</v>
      </c>
      <c r="C5" s="7"/>
    </row>
    <row r="6" customFormat="false" ht="25.5" hidden="false" customHeight="true" outlineLevel="0" collapsed="false">
      <c r="B6" s="41" t="s">
        <v>141</v>
      </c>
      <c r="C6" s="30" t="n">
        <f aca="false">'3 Calculo Emision'!F6</f>
        <v>50000</v>
      </c>
    </row>
    <row r="7" customFormat="false" ht="25.5" hidden="false" customHeight="true" outlineLevel="0" collapsed="false">
      <c r="B7" s="41" t="s">
        <v>142</v>
      </c>
      <c r="C7" s="30" t="n">
        <f aca="false">'3 Calculo Emision'!G6</f>
        <v>10000</v>
      </c>
    </row>
    <row r="8" customFormat="false" ht="25.5" hidden="false" customHeight="true" outlineLevel="0" collapsed="false">
      <c r="B8" s="41" t="s">
        <v>143</v>
      </c>
      <c r="C8" s="30" t="n">
        <f aca="false">'3 Calculo Emision'!D14+'3 Calculo Emision'!F7</f>
        <v>2200000</v>
      </c>
    </row>
    <row r="9" customFormat="false" ht="25.5" hidden="false" customHeight="true" outlineLevel="0" collapsed="false">
      <c r="B9" s="41" t="s">
        <v>144</v>
      </c>
      <c r="C9" s="30" t="n">
        <f aca="false">'3 Calculo Emision'!G7</f>
        <v>200000</v>
      </c>
    </row>
    <row r="10" customFormat="false" ht="15" hidden="false" customHeight="true" outlineLevel="0" collapsed="false">
      <c r="B10" s="5" t="s">
        <v>145</v>
      </c>
      <c r="C10" s="32" t="n">
        <f aca="false">SUM(C6:C9)</f>
        <v>2460000</v>
      </c>
    </row>
    <row r="11" customFormat="false" ht="15" hidden="false" customHeight="true" outlineLevel="0" collapsed="false">
      <c r="B11" s="13" t="s">
        <v>146</v>
      </c>
      <c r="C11" s="30" t="n">
        <f aca="false">'3 Calculo Emision'!D13</f>
        <v>200000</v>
      </c>
    </row>
    <row r="12" customFormat="false" ht="15" hidden="false" customHeight="true" outlineLevel="0" collapsed="false">
      <c r="B12" s="42" t="s">
        <v>147</v>
      </c>
      <c r="C12" s="43" t="n">
        <f aca="false">C10+C11</f>
        <v>2660000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4"/>
  </cols>
  <sheetData>
    <row r="2" customFormat="false" ht="15" hidden="false" customHeight="true" outlineLevel="0" collapsed="false">
      <c r="B2" s="26" t="s">
        <v>148</v>
      </c>
      <c r="C2" s="26"/>
    </row>
    <row r="3" customFormat="false" ht="15" hidden="false" customHeight="true" outlineLevel="0" collapsed="false">
      <c r="B3" s="19" t="s">
        <v>149</v>
      </c>
      <c r="C3" s="19"/>
    </row>
    <row r="5" customFormat="false" ht="15" hidden="false" customHeight="true" outlineLevel="0" collapsed="false">
      <c r="B5" s="7" t="s">
        <v>140</v>
      </c>
      <c r="C5" s="7"/>
    </row>
    <row r="6" customFormat="false" ht="25.5" hidden="false" customHeight="true" outlineLevel="0" collapsed="false">
      <c r="B6" s="41" t="s">
        <v>150</v>
      </c>
      <c r="C6" s="6"/>
    </row>
    <row r="7" customFormat="false" ht="25.5" hidden="false" customHeight="true" outlineLevel="0" collapsed="false">
      <c r="B7" s="41" t="s">
        <v>142</v>
      </c>
      <c r="C7" s="6"/>
    </row>
    <row r="8" customFormat="false" ht="25.5" hidden="false" customHeight="true" outlineLevel="0" collapsed="false">
      <c r="B8" s="41" t="s">
        <v>151</v>
      </c>
      <c r="C8" s="6"/>
    </row>
    <row r="9" customFormat="false" ht="25.5" hidden="false" customHeight="true" outlineLevel="0" collapsed="false">
      <c r="B9" s="41" t="s">
        <v>144</v>
      </c>
      <c r="C9" s="6"/>
    </row>
    <row r="10" customFormat="false" ht="15" hidden="false" customHeight="true" outlineLevel="0" collapsed="false">
      <c r="B10" s="5" t="s">
        <v>145</v>
      </c>
      <c r="C10" s="6"/>
    </row>
    <row r="11" customFormat="false" ht="15" hidden="false" customHeight="true" outlineLevel="0" collapsed="false">
      <c r="B11" s="13" t="s">
        <v>146</v>
      </c>
      <c r="C11" s="6"/>
    </row>
    <row r="12" customFormat="false" ht="15" hidden="false" customHeight="true" outlineLevel="0" collapsed="false">
      <c r="B12" s="42" t="s">
        <v>147</v>
      </c>
      <c r="C12" s="44"/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2026-09-04T16:07:00Z</dcterms:created>
  <dc:creator>openpyxl</dc:creator>
  <dc:description/>
  <dc:language>en-US</dc:language>
  <cp:lastModifiedBy/>
  <dcterms:modified xsi:type="dcterms:W3CDTF">2026-09-04T16:09:41Z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
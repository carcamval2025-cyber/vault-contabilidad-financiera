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icio" sheetId="1" state="visible" r:id="rId1"/>
    <sheet xmlns:r="http://schemas.openxmlformats.org/officeDocument/2006/relationships" name="2. Marco Normativo" sheetId="2" state="visible" r:id="rId2"/>
    <sheet xmlns:r="http://schemas.openxmlformats.org/officeDocument/2006/relationships" name="3. Cálculo Planillas" sheetId="3" state="visible" r:id="rId3"/>
    <sheet xmlns:r="http://schemas.openxmlformats.org/officeDocument/2006/relationships" name="4. Cálculo Práctica" sheetId="4" state="visible" r:id="rId4"/>
    <sheet xmlns:r="http://schemas.openxmlformats.org/officeDocument/2006/relationships" name="5. Asientos Resueltos" sheetId="5" state="visible" r:id="rId5"/>
    <sheet xmlns:r="http://schemas.openxmlformats.org/officeDocument/2006/relationships" name="6. Asientos Práctica" sheetId="6" state="visible" r:id="rId6"/>
    <sheet xmlns:r="http://schemas.openxmlformats.org/officeDocument/2006/relationships" name="7. Producto Final" sheetId="7" state="visible" r:id="rId7"/>
    <sheet xmlns:r="http://schemas.openxmlformats.org/officeDocument/2006/relationships" name="8. Producto Final Práct.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Calibri"/>
      <b val="1"/>
      <color rgb="001E2D5A"/>
      <sz val="18"/>
    </font>
    <font>
      <name val="Calibri"/>
      <i val="1"/>
      <color rgb="002C3E6B"/>
      <sz val="12"/>
    </font>
    <font>
      <name val="Calibri"/>
      <b val="1"/>
      <color rgb="00FFFFFF"/>
      <sz val="13"/>
    </font>
    <font>
      <name val="Calibri"/>
      <b val="1"/>
      <color rgb="00000000"/>
    </font>
    <font>
      <name val="Calibri"/>
      <color rgb="000000FF"/>
    </font>
    <font>
      <name val="Calibri"/>
      <i val="1"/>
      <color rgb="005A6480"/>
      <sz val="9"/>
    </font>
    <font>
      <name val="Calibri"/>
      <b val="1"/>
      <color rgb="002C3E6B"/>
      <sz val="11"/>
    </font>
    <font>
      <name val="Calibri"/>
      <i val="1"/>
      <color rgb="001E2D5A"/>
      <sz val="11"/>
    </font>
    <font>
      <name val="Calibri"/>
      <sz val="9.5"/>
    </font>
    <font>
      <name val="Calibri"/>
      <color rgb="00000000"/>
    </font>
    <font>
      <name val="Calibri"/>
      <b val="1"/>
      <color rgb="001E2D5A"/>
      <sz val="14"/>
    </font>
    <font>
      <name val="Calibri"/>
      <b val="1"/>
      <color rgb="00FFFFFF"/>
      <sz val="10"/>
    </font>
    <font>
      <name val="Calibri"/>
      <color rgb="001E2D5A"/>
      <sz val="9.5"/>
    </font>
    <font>
      <name val="Calibri"/>
      <color rgb="001E2D5A"/>
      <sz val="9"/>
    </font>
    <font>
      <name val="Calibri"/>
      <i val="1"/>
      <color rgb="000000FF"/>
    </font>
  </fonts>
  <fills count="12">
    <fill>
      <patternFill/>
    </fill>
    <fill>
      <patternFill patternType="gray125"/>
    </fill>
    <fill>
      <patternFill patternType="solid">
        <fgColor rgb="001E2D5A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EEF5E8"/>
      </patternFill>
    </fill>
    <fill>
      <patternFill patternType="solid">
        <fgColor rgb="00F9EEF3"/>
      </patternFill>
    </fill>
    <fill>
      <patternFill patternType="solid">
        <fgColor rgb="00EEF7EE"/>
      </patternFill>
    </fill>
    <fill>
      <patternFill patternType="solid">
        <fgColor rgb="00FAF0F0"/>
      </patternFill>
    </fill>
    <fill>
      <patternFill patternType="solid">
        <fgColor rgb="00E8F5E9"/>
      </patternFill>
    </fill>
    <fill>
      <patternFill patternType="solid">
        <fgColor rgb="00EAF0FA"/>
      </patternFill>
    </fill>
    <fill>
      <patternFill patternType="solid">
        <fgColor rgb="00FFF0F5"/>
      </patternFill>
    </fill>
  </fills>
  <borders count="19">
    <border>
      <left/>
      <right/>
      <top/>
      <bottom/>
      <diagonal/>
    </border>
    <border>
      <left style="medium">
        <color rgb="00F9A825"/>
      </left>
      <right style="thin">
        <color rgb="00D9DEEC"/>
      </right>
      <top style="medium">
        <color rgb="00F9A825"/>
      </top>
      <bottom style="thin">
        <color rgb="00D9DEEC"/>
      </bottom>
    </border>
    <border>
      <left style="thin">
        <color rgb="00D9DEEC"/>
      </left>
      <right style="thin">
        <color rgb="00D9DEEC"/>
      </right>
      <top style="medium">
        <color rgb="00F9A825"/>
      </top>
      <bottom style="thin">
        <color rgb="00D9DEEC"/>
      </bottom>
    </border>
    <border>
      <left style="thin">
        <color rgb="00D9DEEC"/>
      </left>
      <right style="medium">
        <color rgb="00F9A825"/>
      </right>
      <top style="medium">
        <color rgb="00F9A825"/>
      </top>
      <bottom style="thin">
        <color rgb="00D9DEEC"/>
      </bottom>
    </border>
    <border>
      <left style="medium">
        <color rgb="00F9A825"/>
      </left>
      <right style="thin">
        <color rgb="00D9DEEC"/>
      </right>
      <top style="thin">
        <color rgb="00D9DEEC"/>
      </top>
      <bottom style="thin">
        <color rgb="00D9DEEC"/>
      </bottom>
    </border>
    <border>
      <left style="thin">
        <color rgb="00D9DEEC"/>
      </left>
      <right style="thin">
        <color rgb="00D9DEEC"/>
      </right>
      <top style="thin">
        <color rgb="00D9DEEC"/>
      </top>
      <bottom style="thin">
        <color rgb="00D9DEEC"/>
      </bottom>
    </border>
    <border>
      <left style="thin">
        <color rgb="00D9DEEC"/>
      </left>
      <right style="medium">
        <color rgb="00F9A825"/>
      </right>
      <top style="thin">
        <color rgb="00D9DEEC"/>
      </top>
      <bottom style="thin">
        <color rgb="00D9DEEC"/>
      </bottom>
    </border>
    <border>
      <left style="medium">
        <color rgb="00F9A825"/>
      </left>
      <right style="thin">
        <color rgb="00D9DEEC"/>
      </right>
      <top style="thin">
        <color rgb="00D9DEEC"/>
      </top>
      <bottom style="medium">
        <color rgb="00F9A825"/>
      </bottom>
    </border>
    <border>
      <left style="thin">
        <color rgb="00D9DEEC"/>
      </left>
      <right style="thin">
        <color rgb="00D9DEEC"/>
      </right>
      <top style="thin">
        <color rgb="00D9DEEC"/>
      </top>
      <bottom style="medium">
        <color rgb="00F9A825"/>
      </bottom>
    </border>
    <border>
      <left style="thin">
        <color rgb="00D9DEEC"/>
      </left>
      <right style="medium">
        <color rgb="00F9A825"/>
      </right>
      <top style="thin">
        <color rgb="00D9DEEC"/>
      </top>
      <bottom style="medium">
        <color rgb="00F9A825"/>
      </bottom>
    </border>
    <border>
      <top style="double">
        <color rgb="001E2D5A"/>
      </top>
      <bottom style="thin"/>
    </border>
    <border>
      <top style="double">
        <color rgb="001E2D5A"/>
      </top>
    </border>
    <border>
      <left/>
      <right/>
      <top style="medium">
        <color rgb="00F9A825"/>
      </top>
      <bottom/>
      <diagonal/>
    </border>
    <border>
      <left style="medium">
        <color rgb="00F9A825"/>
      </left>
      <right/>
      <top/>
      <bottom/>
      <diagonal/>
    </border>
    <border>
      <left/>
      <right style="thin">
        <color rgb="00D9DEEC"/>
      </right>
      <top style="medium">
        <color rgb="00F9A825"/>
      </top>
      <bottom/>
      <diagonal/>
    </border>
    <border>
      <left/>
      <right style="thin">
        <color rgb="00D9DEEC"/>
      </right>
      <top/>
      <bottom/>
      <diagonal/>
    </border>
    <border>
      <left style="medium">
        <color rgb="00F9A825"/>
      </left>
      <right/>
      <top/>
      <bottom style="thin">
        <color rgb="00D9DEEC"/>
      </bottom>
      <diagonal/>
    </border>
    <border>
      <left/>
      <right/>
      <top/>
      <bottom style="thin">
        <color rgb="00D9DEEC"/>
      </bottom>
      <diagonal/>
    </border>
    <border>
      <left/>
      <right style="thin">
        <color rgb="00D9DEEC"/>
      </right>
      <top/>
      <bottom style="thin">
        <color rgb="00D9DEEC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9" fillId="0" borderId="0" applyAlignment="1" pivotButton="0" quotePrefix="0" xfId="0">
      <alignment wrapText="1"/>
    </xf>
    <xf numFmtId="0" fontId="0" fillId="4" borderId="0" pivotButton="0" quotePrefix="0" xfId="0"/>
    <xf numFmtId="0" fontId="9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0" borderId="0" applyAlignment="1" pivotButton="0" quotePrefix="0" xfId="0">
      <alignment wrapText="1"/>
    </xf>
    <xf numFmtId="0" fontId="12" fillId="2" borderId="5" applyAlignment="1" pivotButton="0" quotePrefix="0" xfId="0">
      <alignment horizontal="center" vertical="center" wrapText="1"/>
    </xf>
    <xf numFmtId="0" fontId="10" fillId="0" borderId="5" pivotButton="0" quotePrefix="0" xfId="0"/>
    <xf numFmtId="10" fontId="5" fillId="0" borderId="5" pivotButton="0" quotePrefix="0" xfId="0"/>
    <xf numFmtId="0" fontId="6" fillId="0" borderId="5" pivotButton="0" quotePrefix="0" xfId="0"/>
    <xf numFmtId="164" fontId="5" fillId="10" borderId="0" pivotButton="0" quotePrefix="0" xfId="0"/>
    <xf numFmtId="164" fontId="5" fillId="0" borderId="5" pivotButton="0" quotePrefix="0" xfId="0"/>
    <xf numFmtId="9" fontId="5" fillId="0" borderId="5" pivotButton="0" quotePrefix="0" xfId="0"/>
    <xf numFmtId="0" fontId="5" fillId="0" borderId="5" pivotButton="0" quotePrefix="0" xfId="0"/>
    <xf numFmtId="0" fontId="13" fillId="0" borderId="0" applyAlignment="1" pivotButton="0" quotePrefix="0" xfId="0">
      <alignment wrapText="1"/>
    </xf>
    <xf numFmtId="164" fontId="10" fillId="9" borderId="5" pivotButton="0" quotePrefix="0" xfId="0"/>
    <xf numFmtId="0" fontId="14" fillId="0" borderId="5" applyAlignment="1" pivotButton="0" quotePrefix="0" xfId="0">
      <alignment wrapText="1"/>
    </xf>
    <xf numFmtId="0" fontId="4" fillId="0" borderId="10" pivotButton="0" quotePrefix="0" xfId="0"/>
    <xf numFmtId="0" fontId="0" fillId="0" borderId="10" pivotButton="0" quotePrefix="0" xfId="0"/>
    <xf numFmtId="164" fontId="4" fillId="9" borderId="10" pivotButton="0" quotePrefix="0" xfId="0"/>
    <xf numFmtId="0" fontId="6" fillId="11" borderId="5" pivotButton="0" quotePrefix="0" xfId="0"/>
    <xf numFmtId="0" fontId="15" fillId="11" borderId="5" pivotButton="0" quotePrefix="0" xfId="0"/>
    <xf numFmtId="0" fontId="6" fillId="0" borderId="5" applyAlignment="1" pivotButton="0" quotePrefix="0" xfId="0">
      <alignment wrapText="1"/>
    </xf>
    <xf numFmtId="0" fontId="10" fillId="8" borderId="5" pivotButton="0" quotePrefix="0" xfId="0"/>
    <xf numFmtId="0" fontId="10" fillId="5" borderId="5" pivotButton="0" quotePrefix="0" xfId="0"/>
    <xf numFmtId="0" fontId="10" fillId="4" borderId="5" pivotButton="0" quotePrefix="0" xfId="0"/>
    <xf numFmtId="0" fontId="4" fillId="0" borderId="11" pivotButton="0" quotePrefix="0" xfId="0"/>
    <xf numFmtId="0" fontId="0" fillId="0" borderId="11" pivotButton="0" quotePrefix="0" xfId="0"/>
    <xf numFmtId="164" fontId="4" fillId="9" borderId="11" pivotButton="0" quotePrefix="0" xfId="0"/>
    <xf numFmtId="164" fontId="10" fillId="11" borderId="5" pivotButton="0" quotePrefix="0" xfId="0"/>
    <xf numFmtId="0" fontId="6" fillId="11" borderId="5" applyAlignment="1" pivotButton="0" quotePrefix="0" xfId="0">
      <alignment wrapText="1"/>
    </xf>
    <xf numFmtId="164" fontId="10" fillId="0" borderId="5" pivotButton="0" quotePrefix="0" xfId="0"/>
    <xf numFmtId="1" fontId="10" fillId="9" borderId="5" pivotButton="0" quotePrefix="0" xfId="0"/>
    <xf numFmtId="0" fontId="5" fillId="11" borderId="5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 hidden="0"/>
  </cellStyles>
  <dxfs count="5">
    <dxf>
      <fill>
        <patternFill patternType="solid">
          <fgColor rgb="00E8EEF7"/>
        </patternFill>
      </fill>
    </dxf>
    <dxf>
      <fill>
        <patternFill patternType="solid">
          <fgColor rgb="00EEF5E8"/>
        </patternFill>
      </fill>
    </dxf>
    <dxf>
      <fill>
        <patternFill patternType="solid">
          <fgColor rgb="00F9EEF3"/>
        </patternFill>
      </fill>
    </dxf>
    <dxf>
      <fill>
        <patternFill patternType="solid">
          <fgColor rgb="00EEF7EE"/>
        </patternFill>
      </fill>
    </dxf>
    <dxf>
      <fill>
        <patternFill patternType="solid">
          <fgColor rgb="00FA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30" customWidth="1" min="5" max="5"/>
    <col width="4" customWidth="1" min="6" max="6"/>
  </cols>
  <sheetData>
    <row r="2">
      <c r="B2" s="1" t="inlineStr">
        <is>
          <t>Contabilidad Financiera — Sección 2</t>
        </is>
      </c>
    </row>
    <row r="3">
      <c r="B3" s="2" t="inlineStr">
        <is>
          <t>Trimestre 3/2026 · ESEN · Profesora Antonia Caballero de Siman</t>
        </is>
      </c>
    </row>
    <row r="5" ht="26" customHeight="1">
      <c r="B5" s="3" t="inlineStr">
        <is>
          <t>UNIDAD 1 — PASIVO CORRIENTE: PLANILLAS</t>
        </is>
      </c>
    </row>
    <row r="7">
      <c r="B7" s="4" t="inlineStr">
        <is>
          <t>Nombre del estudiante:</t>
        </is>
      </c>
      <c r="C7" s="5" t="inlineStr">
        <is>
          <t>Carlos Alberto Navas Flores</t>
        </is>
      </c>
    </row>
    <row r="8">
      <c r="B8" s="4" t="inlineStr">
        <is>
          <t>Carnet:</t>
        </is>
      </c>
      <c r="C8" s="5" t="inlineStr">
        <is>
          <t>20255766</t>
        </is>
      </c>
    </row>
    <row r="9">
      <c r="B9" s="4" t="inlineStr">
        <is>
          <t>Fecha de entrega:</t>
        </is>
      </c>
      <c r="C9" s="6" t="inlineStr">
        <is>
          <t>(completar antes de entregar)</t>
        </is>
      </c>
    </row>
    <row r="11">
      <c r="B11" s="7" t="inlineStr">
        <is>
          <t>📜 Código de Honor</t>
        </is>
      </c>
    </row>
    <row r="12">
      <c r="B12" s="8" t="inlineStr">
        <is>
          <t>"Por mi honor y ante mis compañeros, me comprometo a que esta actividad académica refleje mi verdadero nivel de conocimientos, evitando realizar cualquier forma de deshonestidad académica (por ejemplo, copiar o plagiar)."</t>
        </is>
      </c>
      <c r="C12" s="59" t="n"/>
      <c r="D12" s="59" t="n"/>
      <c r="E12" s="60" t="n"/>
    </row>
    <row r="13">
      <c r="B13" s="61" t="n"/>
      <c r="E13" s="62" t="n"/>
    </row>
    <row r="14">
      <c r="B14" s="61" t="n"/>
      <c r="E14" s="62" t="n"/>
    </row>
    <row r="15">
      <c r="B15" s="63" t="n"/>
      <c r="C15" s="64" t="n"/>
      <c r="D15" s="64" t="n"/>
      <c r="E15" s="65" t="n"/>
    </row>
    <row r="17">
      <c r="B17" s="7" t="inlineStr">
        <is>
          <t>🗂️ Guía de las hojas de este archivo</t>
        </is>
      </c>
    </row>
    <row r="18">
      <c r="B18" s="4" t="inlineStr">
        <is>
          <t>1. Inicio</t>
        </is>
      </c>
      <c r="C18" s="17" t="inlineStr">
        <is>
          <t>Esta hoja: portada, código de honor, guía y leyenda de colores.</t>
        </is>
      </c>
    </row>
    <row r="19">
      <c r="B19" s="4" t="inlineStr">
        <is>
          <t>2. Marco Normativo</t>
        </is>
      </c>
      <c r="C19" s="17" t="inlineStr">
        <is>
          <t>Tasas ISSS/AFP/INCAF, tablas de retención de ISR y salario mínimo vigentes — fuente: PDF de la clase.</t>
        </is>
      </c>
    </row>
    <row r="20">
      <c r="B20" s="4" t="inlineStr">
        <is>
          <t>3. Cálculo Planillas</t>
        </is>
      </c>
      <c r="C20" s="17" t="inlineStr">
        <is>
          <t>Ejercicio 1 resuelto: planilla de la empresa ABC (Ana Martínez, Juan López).</t>
        </is>
      </c>
    </row>
    <row r="21">
      <c r="B21" s="4" t="inlineStr">
        <is>
          <t>4. Cálculo Práctica</t>
        </is>
      </c>
      <c r="C21" s="17" t="inlineStr">
        <is>
          <t>Plantilla en blanco para que agregues tus propios empleados.</t>
        </is>
      </c>
    </row>
    <row r="22">
      <c r="B22" s="4" t="inlineStr">
        <is>
          <t>5. Asientos Resueltos</t>
        </is>
      </c>
      <c r="C22" s="17" t="inlineStr">
        <is>
          <t>Libro diario del Ejercicio 1, enlazado por fórmula a la Hoja 3.</t>
        </is>
      </c>
    </row>
    <row r="23">
      <c r="B23" s="4" t="inlineStr">
        <is>
          <t>6. Asientos Práctica</t>
        </is>
      </c>
      <c r="C23" s="17" t="inlineStr">
        <is>
          <t>Plantilla en blanco enlazada a la Hoja 4.</t>
        </is>
      </c>
    </row>
    <row r="24">
      <c r="B24" s="4" t="inlineStr">
        <is>
          <t>7. Producto Final</t>
        </is>
      </c>
      <c r="C24" s="17" t="inlineStr">
        <is>
          <t>Cédula de prestaciones laborales (vacaciones, aguinaldo, indemnización, renuncia voluntaria) resuelta.</t>
        </is>
      </c>
    </row>
    <row r="25">
      <c r="B25" s="4" t="inlineStr">
        <is>
          <t>8. Producto Final Práctica</t>
        </is>
      </c>
      <c r="C25" s="17" t="inlineStr">
        <is>
          <t>Plantilla en blanco de la misma cédula.</t>
        </is>
      </c>
    </row>
    <row r="27">
      <c r="B27" s="7" t="inlineStr">
        <is>
          <t>🎨 Leyenda de colores</t>
        </is>
      </c>
    </row>
    <row r="28">
      <c r="B28" s="18" t="n"/>
      <c r="C28" s="19" t="inlineStr">
        <is>
          <t>Fila de cuenta de Activo</t>
        </is>
      </c>
    </row>
    <row r="29">
      <c r="B29" s="20" t="n"/>
      <c r="C29" s="19" t="inlineStr">
        <is>
          <t>Fila de cuenta de Pasivo</t>
        </is>
      </c>
    </row>
    <row r="30">
      <c r="B30" s="21" t="n"/>
      <c r="C30" s="19" t="inlineStr">
        <is>
          <t>Fila de cuenta de Patrimonio</t>
        </is>
      </c>
    </row>
    <row r="31">
      <c r="B31" s="22" t="n"/>
      <c r="C31" s="19" t="inlineStr">
        <is>
          <t>Fila de cuenta de Ingreso</t>
        </is>
      </c>
    </row>
    <row r="32">
      <c r="B32" s="23" t="n"/>
      <c r="C32" s="19" t="inlineStr">
        <is>
          <t>Fila de cuenta de Gasto</t>
        </is>
      </c>
    </row>
    <row r="33">
      <c r="B33" s="24" t="n"/>
      <c r="C33" s="19" t="inlineStr">
        <is>
          <t>Celda con fórmula / total calculado</t>
        </is>
      </c>
    </row>
    <row r="34">
      <c r="B34" s="25" t="n"/>
      <c r="C34" s="19" t="inlineStr">
        <is>
          <t>Referencia de marco legal</t>
        </is>
      </c>
    </row>
    <row r="35">
      <c r="B35" s="26" t="n"/>
      <c r="C35" s="19" t="inlineStr">
        <is>
          <t>Celda de práctica por completar (con texto guía en gris)</t>
        </is>
      </c>
    </row>
    <row r="36">
      <c r="B36" s="27" t="n"/>
      <c r="C36" s="19" t="inlineStr">
        <is>
          <t>Nota o instrucción pedagógica</t>
        </is>
      </c>
    </row>
    <row r="38">
      <c r="B38" s="4" t="inlineStr">
        <is>
          <t>Convención de texto:</t>
        </is>
      </c>
    </row>
    <row r="39">
      <c r="B39" s="5" t="inlineStr">
        <is>
          <t>Azul</t>
        </is>
      </c>
      <c r="C39" s="19" t="inlineStr">
        <is>
          <t>→ dato de entrada que puedes cambiar (sueldo, años de servicio, etc.)</t>
        </is>
      </c>
    </row>
    <row r="40">
      <c r="B40" s="28" t="inlineStr">
        <is>
          <t>Negro</t>
        </is>
      </c>
      <c r="C40" s="19" t="inlineStr">
        <is>
          <t>→ fórmula o cálculo automático — no lo sobrescribas</t>
        </is>
      </c>
    </row>
    <row r="41">
      <c r="B41" s="6" t="inlineStr">
        <is>
          <t>Gris</t>
        </is>
      </c>
      <c r="C41" s="19" t="inlineStr">
        <is>
          <t>→ nota, instrucción o texto explicativo</t>
        </is>
      </c>
    </row>
  </sheetData>
  <mergeCells count="11">
    <mergeCell ref="C19:E19"/>
    <mergeCell ref="C23:E23"/>
    <mergeCell ref="C22:E22"/>
    <mergeCell ref="C18:E18"/>
    <mergeCell ref="B12:E15"/>
    <mergeCell ref="B5:E5"/>
    <mergeCell ref="C7:E7"/>
    <mergeCell ref="C21:E21"/>
    <mergeCell ref="C20:E20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8" customWidth="1" min="5" max="5"/>
    <col width="20" customWidth="1" min="6" max="6"/>
    <col width="4" customWidth="1" min="7" max="7"/>
  </cols>
  <sheetData>
    <row r="2">
      <c r="B2" s="29" t="inlineStr">
        <is>
          <t>⚖️ Marco Normativo — Unidad 1: Pasivo Corriente (Planillas)</t>
        </is>
      </c>
    </row>
    <row r="3" ht="28" customHeight="1">
      <c r="B3" s="30" t="inlineStr">
        <is>
          <t>Fuente: "Unidad I e Introducción.pdf" (verificado) y tablas de ISR/salario mínimo confirmadas por el estudiante — 2026-08-26. No editar: estas celdas alimentan las fórmulas de las demás hojas.</t>
        </is>
      </c>
    </row>
    <row r="5">
      <c r="B5" s="7" t="inlineStr">
        <is>
          <t>Tasas de cotización obligatorias</t>
        </is>
      </c>
    </row>
    <row r="6">
      <c r="B6" s="31" t="inlineStr">
        <is>
          <t>Concepto</t>
        </is>
      </c>
      <c r="C6" s="31" t="inlineStr">
        <is>
          <t>Retención Empleado</t>
        </is>
      </c>
      <c r="D6" s="31" t="inlineStr">
        <is>
          <t>Aporte Patronal</t>
        </is>
      </c>
      <c r="E6" s="31" t="inlineStr">
        <is>
          <t>Base de cálculo</t>
        </is>
      </c>
    </row>
    <row r="7">
      <c r="B7" s="32" t="inlineStr">
        <is>
          <t>ISSS (Seguro Social)</t>
        </is>
      </c>
      <c r="C7" s="33" t="n">
        <v>0.03</v>
      </c>
      <c r="D7" s="33" t="n">
        <v>0.075</v>
      </c>
      <c r="E7" s="34" t="inlineStr">
        <is>
          <t>Tope máximo: base ISSS ($) →</t>
        </is>
      </c>
      <c r="F7" s="35" t="n">
        <v>1000</v>
      </c>
    </row>
    <row r="8">
      <c r="B8" s="32" t="inlineStr">
        <is>
          <t>AFP (Pensiones)</t>
        </is>
      </c>
      <c r="C8" s="33" t="n">
        <v>0.0725</v>
      </c>
      <c r="D8" s="33" t="n">
        <v>0.08749999999999999</v>
      </c>
      <c r="E8" s="34" t="inlineStr">
        <is>
          <t>Sin límite máximo</t>
        </is>
      </c>
    </row>
    <row r="9">
      <c r="B9" s="32" t="inlineStr">
        <is>
          <t>INCAF</t>
        </is>
      </c>
      <c r="C9" s="12" t="inlineStr">
        <is>
          <t>—</t>
        </is>
      </c>
      <c r="D9" s="33" t="n">
        <v>0.01</v>
      </c>
      <c r="E9" s="34" t="inlineStr">
        <is>
          <t>Sobre el total del salario</t>
        </is>
      </c>
    </row>
    <row r="10">
      <c r="B10" s="7" t="inlineStr">
        <is>
          <t>Tabla de retención de ISR — pagadera MENSUALMENTE</t>
        </is>
      </c>
    </row>
    <row r="11">
      <c r="B11" s="31" t="inlineStr">
        <is>
          <t>Tramo</t>
        </is>
      </c>
      <c r="C11" s="31" t="inlineStr">
        <is>
          <t>Desde</t>
        </is>
      </c>
      <c r="D11" s="31" t="inlineStr">
        <is>
          <t>Hasta</t>
        </is>
      </c>
      <c r="E11" s="31" t="inlineStr">
        <is>
          <t>% a aplicar</t>
        </is>
      </c>
      <c r="F11" s="31" t="inlineStr">
        <is>
          <t>Sobre el exceso de</t>
        </is>
      </c>
      <c r="G11" s="31" t="inlineStr">
        <is>
          <t>Más cuota fija de</t>
        </is>
      </c>
    </row>
    <row r="12">
      <c r="B12" s="32" t="inlineStr">
        <is>
          <t>I</t>
        </is>
      </c>
      <c r="C12" s="36" t="n">
        <v>0.01</v>
      </c>
      <c r="D12" s="36" t="n">
        <v>550</v>
      </c>
      <c r="E12" s="37" t="n">
        <v>0</v>
      </c>
      <c r="F12" s="36" t="n">
        <v>0</v>
      </c>
      <c r="G12" s="36" t="n">
        <v>0</v>
      </c>
    </row>
    <row r="13">
      <c r="B13" s="32" t="inlineStr">
        <is>
          <t>II</t>
        </is>
      </c>
      <c r="C13" s="36" t="n">
        <v>550.01</v>
      </c>
      <c r="D13" s="36" t="n">
        <v>895.24</v>
      </c>
      <c r="E13" s="37" t="n">
        <v>0.1</v>
      </c>
      <c r="F13" s="36" t="n">
        <v>550</v>
      </c>
      <c r="G13" s="36" t="n">
        <v>17.67</v>
      </c>
    </row>
    <row r="14">
      <c r="B14" s="32" t="inlineStr">
        <is>
          <t>III</t>
        </is>
      </c>
      <c r="C14" s="36" t="n">
        <v>895.25</v>
      </c>
      <c r="D14" s="36" t="n">
        <v>2038.1</v>
      </c>
      <c r="E14" s="37" t="n">
        <v>0.2</v>
      </c>
      <c r="F14" s="36" t="n">
        <v>895.24</v>
      </c>
      <c r="G14" s="36" t="n">
        <v>60</v>
      </c>
    </row>
    <row r="15">
      <c r="B15" s="32" t="inlineStr">
        <is>
          <t>IV</t>
        </is>
      </c>
      <c r="C15" s="36" t="n">
        <v>2038.11</v>
      </c>
      <c r="D15" s="38" t="inlineStr">
        <is>
          <t>En adelante</t>
        </is>
      </c>
      <c r="E15" s="37" t="n">
        <v>0.3</v>
      </c>
      <c r="F15" s="36" t="n">
        <v>2038.1</v>
      </c>
      <c r="G15" s="36" t="n">
        <v>288.57</v>
      </c>
    </row>
    <row r="17">
      <c r="B17" s="7" t="inlineStr">
        <is>
          <t>Tabla de retención de ISR — pagadera QUINCENALMENTE</t>
        </is>
      </c>
    </row>
    <row r="18">
      <c r="B18" s="31" t="inlineStr">
        <is>
          <t>Tramo</t>
        </is>
      </c>
      <c r="C18" s="31" t="inlineStr">
        <is>
          <t>Desde</t>
        </is>
      </c>
      <c r="D18" s="31" t="inlineStr">
        <is>
          <t>Hasta</t>
        </is>
      </c>
      <c r="E18" s="31" t="inlineStr">
        <is>
          <t>% a aplicar</t>
        </is>
      </c>
      <c r="F18" s="31" t="inlineStr">
        <is>
          <t>Sobre el exceso de</t>
        </is>
      </c>
      <c r="G18" s="31" t="inlineStr">
        <is>
          <t>Más cuota fija de</t>
        </is>
      </c>
    </row>
    <row r="19">
      <c r="B19" s="32" t="inlineStr">
        <is>
          <t>I</t>
        </is>
      </c>
      <c r="C19" s="36" t="n">
        <v>0.01</v>
      </c>
      <c r="D19" s="36" t="n">
        <v>275</v>
      </c>
      <c r="E19" s="37" t="n">
        <v>0</v>
      </c>
      <c r="F19" s="36" t="n">
        <v>0</v>
      </c>
      <c r="G19" s="36" t="n">
        <v>0</v>
      </c>
    </row>
    <row r="20">
      <c r="B20" s="32" t="inlineStr">
        <is>
          <t>II</t>
        </is>
      </c>
      <c r="C20" s="36" t="n">
        <v>275.01</v>
      </c>
      <c r="D20" s="36" t="n">
        <v>447.62</v>
      </c>
      <c r="E20" s="37" t="n">
        <v>0.1</v>
      </c>
      <c r="F20" s="36" t="n">
        <v>275</v>
      </c>
      <c r="G20" s="36" t="n">
        <v>8.83</v>
      </c>
    </row>
    <row r="21">
      <c r="B21" s="32" t="inlineStr">
        <is>
          <t>III</t>
        </is>
      </c>
      <c r="C21" s="36" t="n">
        <v>447.63</v>
      </c>
      <c r="D21" s="36" t="n">
        <v>1019.05</v>
      </c>
      <c r="E21" s="37" t="n">
        <v>0.2</v>
      </c>
      <c r="F21" s="36" t="n">
        <v>447.62</v>
      </c>
      <c r="G21" s="36" t="n">
        <v>30</v>
      </c>
    </row>
    <row r="22">
      <c r="B22" s="32" t="inlineStr">
        <is>
          <t>IV</t>
        </is>
      </c>
      <c r="C22" s="36" t="n">
        <v>1019.06</v>
      </c>
      <c r="D22" s="38" t="inlineStr">
        <is>
          <t>En adelante</t>
        </is>
      </c>
      <c r="E22" s="37" t="n">
        <v>0.3</v>
      </c>
      <c r="F22" s="36" t="n">
        <v>1019.05</v>
      </c>
      <c r="G22" s="36" t="n">
        <v>144.28</v>
      </c>
    </row>
    <row r="24">
      <c r="B24" s="7" t="inlineStr">
        <is>
          <t>Tabla de retención de ISR — pagadera SEMANALMENTE</t>
        </is>
      </c>
    </row>
    <row r="25">
      <c r="B25" s="31" t="inlineStr">
        <is>
          <t>Tramo</t>
        </is>
      </c>
      <c r="C25" s="31" t="inlineStr">
        <is>
          <t>Desde</t>
        </is>
      </c>
      <c r="D25" s="31" t="inlineStr">
        <is>
          <t>Hasta</t>
        </is>
      </c>
      <c r="E25" s="31" t="inlineStr">
        <is>
          <t>% a aplicar</t>
        </is>
      </c>
      <c r="F25" s="31" t="inlineStr">
        <is>
          <t>Sobre el exceso de</t>
        </is>
      </c>
      <c r="G25" s="31" t="inlineStr">
        <is>
          <t>Más cuota fija de</t>
        </is>
      </c>
    </row>
    <row r="26">
      <c r="B26" s="32" t="inlineStr">
        <is>
          <t>I</t>
        </is>
      </c>
      <c r="C26" s="36" t="n">
        <v>0.01</v>
      </c>
      <c r="D26" s="36" t="n">
        <v>137.5</v>
      </c>
      <c r="E26" s="37" t="n">
        <v>0</v>
      </c>
      <c r="F26" s="36" t="n">
        <v>0</v>
      </c>
      <c r="G26" s="36" t="n">
        <v>0</v>
      </c>
    </row>
    <row r="27">
      <c r="B27" s="32" t="inlineStr">
        <is>
          <t>II</t>
        </is>
      </c>
      <c r="C27" s="36" t="n">
        <v>137.51</v>
      </c>
      <c r="D27" s="36" t="n">
        <v>223.81</v>
      </c>
      <c r="E27" s="37" t="n">
        <v>0.1</v>
      </c>
      <c r="F27" s="36" t="n">
        <v>137.5</v>
      </c>
      <c r="G27" s="36" t="n">
        <v>4.42</v>
      </c>
    </row>
    <row r="28">
      <c r="B28" s="32" t="inlineStr">
        <is>
          <t>III</t>
        </is>
      </c>
      <c r="C28" s="36" t="n">
        <v>223.82</v>
      </c>
      <c r="D28" s="36" t="n">
        <v>509.52</v>
      </c>
      <c r="E28" s="37" t="n">
        <v>0.2</v>
      </c>
      <c r="F28" s="36" t="n">
        <v>223.81</v>
      </c>
      <c r="G28" s="36" t="n">
        <v>15</v>
      </c>
    </row>
    <row r="29">
      <c r="B29" s="32" t="inlineStr">
        <is>
          <t>IV</t>
        </is>
      </c>
      <c r="C29" s="36" t="n">
        <v>509.53</v>
      </c>
      <c r="D29" s="38" t="inlineStr">
        <is>
          <t>En adelante</t>
        </is>
      </c>
      <c r="E29" s="37" t="n">
        <v>0.3</v>
      </c>
      <c r="F29" s="36" t="n">
        <v>509.52</v>
      </c>
      <c r="G29" s="36" t="n">
        <v>72.14</v>
      </c>
    </row>
    <row r="31">
      <c r="B31" s="7" t="inlineStr">
        <is>
          <t>Tabla de recálculo de ISR — JUNIO (1er recálculo, acumulado ene-jun)</t>
        </is>
      </c>
    </row>
    <row r="32">
      <c r="B32" s="31" t="inlineStr">
        <is>
          <t>Tramo</t>
        </is>
      </c>
      <c r="C32" s="31" t="inlineStr">
        <is>
          <t>Desde</t>
        </is>
      </c>
      <c r="D32" s="31" t="inlineStr">
        <is>
          <t>Hasta</t>
        </is>
      </c>
      <c r="E32" s="31" t="inlineStr">
        <is>
          <t>% a aplicar</t>
        </is>
      </c>
      <c r="F32" s="31" t="inlineStr">
        <is>
          <t>Sobre el exceso de</t>
        </is>
      </c>
      <c r="G32" s="31" t="inlineStr">
        <is>
          <t>Más cuota fija de</t>
        </is>
      </c>
    </row>
    <row r="33">
      <c r="B33" s="32" t="inlineStr">
        <is>
          <t>I</t>
        </is>
      </c>
      <c r="C33" s="36" t="n">
        <v>0.01</v>
      </c>
      <c r="D33" s="36" t="n">
        <v>3300</v>
      </c>
      <c r="E33" s="37" t="n">
        <v>0</v>
      </c>
      <c r="F33" s="36" t="n">
        <v>0</v>
      </c>
      <c r="G33" s="36" t="n">
        <v>0</v>
      </c>
    </row>
    <row r="34">
      <c r="B34" s="32" t="inlineStr">
        <is>
          <t>II</t>
        </is>
      </c>
      <c r="C34" s="36" t="n">
        <v>3300.01</v>
      </c>
      <c r="D34" s="36" t="n">
        <v>5371.44</v>
      </c>
      <c r="E34" s="37" t="n">
        <v>0.1</v>
      </c>
      <c r="F34" s="36" t="n">
        <v>3300</v>
      </c>
      <c r="G34" s="36" t="n">
        <v>106.2</v>
      </c>
    </row>
    <row r="35">
      <c r="B35" s="32" t="inlineStr">
        <is>
          <t>III</t>
        </is>
      </c>
      <c r="C35" s="36" t="n">
        <v>5371.45</v>
      </c>
      <c r="D35" s="36" t="n">
        <v>12228.6</v>
      </c>
      <c r="E35" s="37" t="n">
        <v>0.2</v>
      </c>
      <c r="F35" s="36" t="n">
        <v>5371.44</v>
      </c>
      <c r="G35" s="36" t="n">
        <v>360</v>
      </c>
    </row>
    <row r="36">
      <c r="B36" s="32" t="inlineStr">
        <is>
          <t>IV</t>
        </is>
      </c>
      <c r="C36" s="36" t="n">
        <v>12228.61</v>
      </c>
      <c r="D36" s="38" t="inlineStr">
        <is>
          <t>En adelante</t>
        </is>
      </c>
      <c r="E36" s="37" t="n">
        <v>0.3</v>
      </c>
      <c r="F36" s="36" t="n">
        <v>12228.6</v>
      </c>
      <c r="G36" s="36" t="n">
        <v>1731.42</v>
      </c>
    </row>
    <row r="38">
      <c r="B38" s="7" t="inlineStr">
        <is>
          <t>Tabla de recálculo de ISR — DICIEMBRE (2do recálculo, acumulado ene-dic)</t>
        </is>
      </c>
    </row>
    <row r="39">
      <c r="B39" s="31" t="inlineStr">
        <is>
          <t>Tramo</t>
        </is>
      </c>
      <c r="C39" s="31" t="inlineStr">
        <is>
          <t>Desde</t>
        </is>
      </c>
      <c r="D39" s="31" t="inlineStr">
        <is>
          <t>Hasta</t>
        </is>
      </c>
      <c r="E39" s="31" t="inlineStr">
        <is>
          <t>% a aplicar</t>
        </is>
      </c>
      <c r="F39" s="31" t="inlineStr">
        <is>
          <t>Sobre el exceso de</t>
        </is>
      </c>
      <c r="G39" s="31" t="inlineStr">
        <is>
          <t>Más cuota fija de</t>
        </is>
      </c>
    </row>
    <row r="40">
      <c r="B40" s="32" t="inlineStr">
        <is>
          <t>I</t>
        </is>
      </c>
      <c r="C40" s="36" t="n">
        <v>0.01</v>
      </c>
      <c r="D40" s="36" t="n">
        <v>6600</v>
      </c>
      <c r="E40" s="37" t="n">
        <v>0</v>
      </c>
      <c r="F40" s="36" t="n">
        <v>0</v>
      </c>
      <c r="G40" s="36" t="n">
        <v>0</v>
      </c>
    </row>
    <row r="41">
      <c r="B41" s="32" t="inlineStr">
        <is>
          <t>II</t>
        </is>
      </c>
      <c r="C41" s="36" t="n">
        <v>6600.01</v>
      </c>
      <c r="D41" s="36" t="n">
        <v>10742.86</v>
      </c>
      <c r="E41" s="37" t="n">
        <v>0.1</v>
      </c>
      <c r="F41" s="36" t="n">
        <v>6600</v>
      </c>
      <c r="G41" s="36" t="n">
        <v>212.12</v>
      </c>
    </row>
    <row r="42">
      <c r="B42" s="32" t="inlineStr">
        <is>
          <t>III</t>
        </is>
      </c>
      <c r="C42" s="36" t="n">
        <v>10742.87</v>
      </c>
      <c r="D42" s="36" t="n">
        <v>24457.14</v>
      </c>
      <c r="E42" s="37" t="n">
        <v>0.2</v>
      </c>
      <c r="F42" s="36" t="n">
        <v>10742.86</v>
      </c>
      <c r="G42" s="36" t="n">
        <v>720</v>
      </c>
    </row>
    <row r="43">
      <c r="B43" s="32" t="inlineStr">
        <is>
          <t>IV</t>
        </is>
      </c>
      <c r="C43" s="36" t="n">
        <v>24457.15</v>
      </c>
      <c r="D43" s="38" t="inlineStr">
        <is>
          <t>En adelante</t>
        </is>
      </c>
      <c r="E43" s="37" t="n">
        <v>0.3</v>
      </c>
      <c r="F43" s="36" t="n">
        <v>24457.14</v>
      </c>
      <c r="G43" s="36" t="n">
        <v>3462.86</v>
      </c>
    </row>
    <row r="45">
      <c r="B45" s="7" t="inlineStr">
        <is>
          <t>Salario mínimo vigente (desde 1 de junio de 2025 — Ministerio de Trabajo, verificado 2026-08-26)</t>
        </is>
      </c>
    </row>
    <row r="46">
      <c r="B46" s="31" t="inlineStr">
        <is>
          <t>Sector económico</t>
        </is>
      </c>
      <c r="C46" s="31" t="inlineStr">
        <is>
          <t>Salario mínimo mensual</t>
        </is>
      </c>
    </row>
    <row r="47">
      <c r="B47" s="32" t="inlineStr">
        <is>
          <t>Industria</t>
        </is>
      </c>
      <c r="C47" s="36" t="n">
        <v>408.8</v>
      </c>
    </row>
    <row r="48">
      <c r="B48" s="32" t="inlineStr">
        <is>
          <t>Comercio y servicios</t>
        </is>
      </c>
      <c r="C48" s="36" t="n">
        <v>408.8</v>
      </c>
    </row>
    <row r="49">
      <c r="B49" s="32" t="inlineStr">
        <is>
          <t>Maquila textil y confección</t>
        </is>
      </c>
      <c r="C49" s="36" t="n">
        <v>402.32</v>
      </c>
    </row>
    <row r="50">
      <c r="B50" s="32" t="inlineStr">
        <is>
          <t>Agrícola — recolección de caña de azúcar</t>
        </is>
      </c>
      <c r="C50" s="36" t="n">
        <v>305.23</v>
      </c>
    </row>
    <row r="51">
      <c r="B51" s="32" t="inlineStr">
        <is>
          <t>Agrícola — beneficio de café</t>
        </is>
      </c>
      <c r="C51" s="36" t="n">
        <v>305.23</v>
      </c>
    </row>
    <row r="52">
      <c r="B52" s="32" t="inlineStr">
        <is>
          <t>Agrícola — recolección de café</t>
        </is>
      </c>
      <c r="C52" s="36" t="n">
        <v>272.53</v>
      </c>
    </row>
    <row r="53">
      <c r="B53" s="32" t="inlineStr">
        <is>
          <t>Agrícola — sector agropecuario, pesca y otras</t>
        </is>
      </c>
      <c r="C53" s="36" t="n">
        <v>272.53</v>
      </c>
    </row>
    <row r="55">
      <c r="B55" s="7" t="inlineStr">
        <is>
          <t>Aguinaldo por antigüedad (Código de Trabajo)</t>
        </is>
      </c>
    </row>
    <row r="56">
      <c r="B56" s="31" t="inlineStr">
        <is>
          <t>Años de servicio desde</t>
        </is>
      </c>
      <c r="C56" s="31" t="inlineStr">
        <is>
          <t>Años de servicio hasta</t>
        </is>
      </c>
      <c r="D56" s="31" t="inlineStr">
        <is>
          <t>Días de salario</t>
        </is>
      </c>
    </row>
    <row r="57">
      <c r="B57" s="38" t="n">
        <v>1</v>
      </c>
      <c r="C57" s="38" t="n">
        <v>3</v>
      </c>
      <c r="D57" s="38" t="n">
        <v>15</v>
      </c>
    </row>
    <row r="58">
      <c r="B58" s="38" t="n">
        <v>3</v>
      </c>
      <c r="C58" s="38" t="n">
        <v>10</v>
      </c>
      <c r="D58" s="38" t="n">
        <v>19</v>
      </c>
    </row>
    <row r="59">
      <c r="B59" s="38" t="n">
        <v>10</v>
      </c>
      <c r="C59" s="38" t="n">
        <v>999</v>
      </c>
      <c r="D59" s="38" t="n">
        <v>21</v>
      </c>
    </row>
    <row r="61">
      <c r="B61" s="7" t="inlineStr">
        <is>
          <t>⚖️ Notas de marco legal (prestaciones)</t>
        </is>
      </c>
    </row>
    <row r="62" ht="26" customHeight="1">
      <c r="B62" s="39" t="inlineStr">
        <is>
          <t>• Vacaciones: 15 días + 30% de recargo tras un año de trabajo continuo — Art. 177, Código de Trabajo.</t>
        </is>
      </c>
    </row>
    <row r="63" ht="26" customHeight="1">
      <c r="B63" s="39" t="inlineStr">
        <is>
          <t>• Indemnización por despido: hasta 30 días de salario básico por año de servicio, exenta de ISSS, AFP e ISR — Art. 4, Ley del ISR.</t>
        </is>
      </c>
    </row>
    <row r="64" ht="26" customHeight="1">
      <c r="B64" s="39" t="inlineStr">
        <is>
          <t>• Renuncia voluntaria: 15 días por año de servicio, mínimo 2 años de antigüedad, tope de 2 salarios mínimos diarios — Ley Reguladora de la Prestación Económica por Renuncia Voluntaria.</t>
        </is>
      </c>
    </row>
    <row r="65" ht="26" customHeight="1">
      <c r="B65" s="39" t="inlineStr">
        <is>
          <t>• Aguinaldo: exento de ISR hasta el equivalente a 2 salarios mínimos mensuales del sector comercio y servicios; el exceso se grava con la tabla mensual de ISR.</t>
        </is>
      </c>
    </row>
    <row r="66">
      <c r="B66" t="inlineStr">
        <is>
          <t>• Indemnización por despido incausado: para el cálculo del monto (30 días de salario básico por año), ningún salario diario puede considerarse superior a 4 veces el salario mínimo diario legal vigente — Art. 58, Código de Trabajo.</t>
        </is>
      </c>
    </row>
  </sheetData>
  <mergeCells count="7">
    <mergeCell ref="B65:F65"/>
    <mergeCell ref="B62:F62"/>
    <mergeCell ref="B64:F64"/>
    <mergeCell ref="B3:F3"/>
    <mergeCell ref="B45:F45"/>
    <mergeCell ref="B63:F63"/>
    <mergeCell ref="B55:D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7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3" customWidth="1" min="4" max="4"/>
    <col width="12" customWidth="1" min="5" max="5"/>
    <col width="13" customWidth="1" min="6" max="6"/>
    <col width="13" customWidth="1" min="7" max="7"/>
    <col width="12" customWidth="1" min="8" max="8"/>
    <col width="14" customWidth="1" min="9" max="9"/>
    <col width="12" customWidth="1" min="10" max="10"/>
    <col width="14" customWidth="1" min="11" max="11"/>
    <col width="13" customWidth="1" min="12" max="12"/>
    <col width="13" customWidth="1" min="13" max="13"/>
    <col width="12" customWidth="1" min="14" max="14"/>
    <col width="34" customWidth="1" min="15" max="15"/>
  </cols>
  <sheetData>
    <row r="2">
      <c r="B2" s="29" t="inlineStr">
        <is>
          <t>🧮 Cálculo de Planilla — Ejercicio 1 (resuelto)</t>
        </is>
      </c>
    </row>
    <row r="3">
      <c r="B3" s="6" t="inlineStr">
        <is>
          <t>Empresa ABC, al 31 de mayo. Empleado(s): Ana Martínez (Vendedora) y Juan López (Gerente).</t>
        </is>
      </c>
    </row>
    <row r="4" ht="32" customHeight="1">
      <c r="B4" s="31" t="inlineStr">
        <is>
          <t>Empleado</t>
        </is>
      </c>
      <c r="C4" s="31" t="inlineStr">
        <is>
          <t>Puesto</t>
        </is>
      </c>
      <c r="D4" s="31" t="inlineStr">
        <is>
          <t>Sueldo
Mensual</t>
        </is>
      </c>
      <c r="E4" s="31" t="inlineStr">
        <is>
          <t>Horas
Extra ($)</t>
        </is>
      </c>
      <c r="F4" s="31" t="inlineStr">
        <is>
          <t>Total
Salario</t>
        </is>
      </c>
      <c r="G4" s="31" t="inlineStr">
        <is>
          <t>Base ISSS
(topada)</t>
        </is>
      </c>
      <c r="H4" s="31" t="inlineStr">
        <is>
          <t>ISSS
Empleado</t>
        </is>
      </c>
      <c r="I4" s="31" t="inlineStr">
        <is>
          <t>AFP
Empleado</t>
        </is>
      </c>
      <c r="J4" s="31" t="inlineStr">
        <is>
          <t>Remun.
Gravada</t>
        </is>
      </c>
      <c r="K4" s="31" t="inlineStr">
        <is>
          <t>ISR</t>
        </is>
      </c>
      <c r="L4" s="31" t="inlineStr">
        <is>
          <t>Salario
Líquido</t>
        </is>
      </c>
      <c r="M4" s="31" t="inlineStr">
        <is>
          <t>ISSS
Patronal</t>
        </is>
      </c>
      <c r="N4" s="31" t="inlineStr">
        <is>
          <t>AFP
Patronal</t>
        </is>
      </c>
      <c r="O4" s="31" t="inlineStr">
        <is>
          <t>INCAF
Patronal</t>
        </is>
      </c>
      <c r="P4" s="31" t="inlineStr">
        <is>
          <t>¿Por qué? (razonamiento)</t>
        </is>
      </c>
    </row>
    <row r="5" ht="30" customHeight="1">
      <c r="B5" s="38" t="inlineStr">
        <is>
          <t>Ana Martínez</t>
        </is>
      </c>
      <c r="C5" s="38" t="inlineStr">
        <is>
          <t>Vendedora</t>
        </is>
      </c>
      <c r="D5" s="38" t="n">
        <v>590</v>
      </c>
      <c r="E5" s="38" t="n">
        <v>10</v>
      </c>
      <c r="F5" s="40">
        <f>D5+E5</f>
        <v/>
      </c>
      <c r="G5" s="40">
        <f>MIN(F5,'2. Marco Normativo'!$F$7)</f>
        <v/>
      </c>
      <c r="H5" s="40">
        <f>ROUND(G5*'2. Marco Normativo'!$C$7,2)</f>
        <v/>
      </c>
      <c r="I5" s="40">
        <f>ROUND(F5*'2. Marco Normativo'!$C$8,2)</f>
        <v/>
      </c>
      <c r="J5" s="40">
        <f>F5-H5-I5</f>
        <v/>
      </c>
      <c r="K5" s="40">
        <f>IF(J5=0,0,ROUND((J5-VLOOKUP(J5,'2. Marco Normativo'!$C$12:$G$15,4,TRUE))*VLOOKUP(J5,'2. Marco Normativo'!$C$12:$G$15,3,TRUE)+VLOOKUP(J5,'2. Marco Normativo'!$C$12:$G$15,5,TRUE),2))</f>
        <v/>
      </c>
      <c r="L5" s="40">
        <f>F5-H5-I5-K5</f>
        <v/>
      </c>
      <c r="M5" s="40">
        <f>ROUND(G5*'2. Marco Normativo'!$D$7,2)</f>
        <v/>
      </c>
      <c r="N5" s="40">
        <f>ROUND(F5*'2. Marco Normativo'!$D$8,2)</f>
        <v/>
      </c>
      <c r="O5" s="40">
        <f>ROUND(F5*'2. Marco Normativo'!$D$9,2)</f>
        <v/>
      </c>
      <c r="P5" s="41" t="inlineStr">
        <is>
          <t>ISSS topado no aplica: el bruto ($600) está por debajo de $1,000.</t>
        </is>
      </c>
    </row>
    <row r="6" ht="30" customHeight="1">
      <c r="B6" s="38" t="inlineStr">
        <is>
          <t>Juan López</t>
        </is>
      </c>
      <c r="C6" s="38" t="inlineStr">
        <is>
          <t>Gerente</t>
        </is>
      </c>
      <c r="D6" s="38" t="n">
        <v>2500</v>
      </c>
      <c r="E6" s="38" t="n">
        <v>0</v>
      </c>
      <c r="F6" s="40">
        <f>D6+E6</f>
        <v/>
      </c>
      <c r="G6" s="40">
        <f>MIN(F6,'2. Marco Normativo'!$F$7)</f>
        <v/>
      </c>
      <c r="H6" s="40">
        <f>ROUND(G6*'2. Marco Normativo'!$C$7,2)</f>
        <v/>
      </c>
      <c r="I6" s="40">
        <f>ROUND(F6*'2. Marco Normativo'!$C$8,2)</f>
        <v/>
      </c>
      <c r="J6" s="40">
        <f>F6-H6-I6</f>
        <v/>
      </c>
      <c r="K6" s="40">
        <f>IF(J6=0,0,ROUND((J6-VLOOKUP(J6,'2. Marco Normativo'!$C$12:$G$15,4,TRUE))*VLOOKUP(J6,'2. Marco Normativo'!$C$12:$G$15,3,TRUE)+VLOOKUP(J6,'2. Marco Normativo'!$C$12:$G$15,5,TRUE),2))</f>
        <v/>
      </c>
      <c r="L6" s="40">
        <f>F6-H6-I6-K6</f>
        <v/>
      </c>
      <c r="M6" s="40">
        <f>ROUND(G6*'2. Marco Normativo'!$D$7,2)</f>
        <v/>
      </c>
      <c r="N6" s="40">
        <f>ROUND(F6*'2. Marco Normativo'!$D$8,2)</f>
        <v/>
      </c>
      <c r="O6" s="40">
        <f>ROUND(F6*'2. Marco Normativo'!$D$9,2)</f>
        <v/>
      </c>
      <c r="P6" s="41" t="inlineStr">
        <is>
          <t>ISSS SÍ se topa a $1,000 porque el bruto ($2,500) supera el tope.</t>
        </is>
      </c>
    </row>
    <row r="7" ht="20" customHeight="1">
      <c r="B7" s="42" t="inlineStr">
        <is>
          <t>TOTAL</t>
        </is>
      </c>
      <c r="C7" s="43" t="n"/>
      <c r="D7" s="44">
        <f>SUM(D5:D6)</f>
        <v/>
      </c>
      <c r="E7" s="44">
        <f>SUM(E5:E6)</f>
        <v/>
      </c>
      <c r="F7" s="44">
        <f>SUM(F5:F6)</f>
        <v/>
      </c>
      <c r="G7" s="44">
        <f>SUM(G5:G6)</f>
        <v/>
      </c>
      <c r="H7" s="44">
        <f>SUM(H5:H6)</f>
        <v/>
      </c>
      <c r="I7" s="44">
        <f>SUM(I5:I6)</f>
        <v/>
      </c>
      <c r="J7" s="44">
        <f>SUM(J5:J6)</f>
        <v/>
      </c>
      <c r="K7" s="44">
        <f>SUM(K5:K6)</f>
        <v/>
      </c>
      <c r="L7" s="44">
        <f>SUM(L5:L6)</f>
        <v/>
      </c>
      <c r="M7" s="44">
        <f>SUM(M5:M6)</f>
        <v/>
      </c>
      <c r="N7" s="44">
        <f>SUM(N5:N6)</f>
        <v/>
      </c>
      <c r="O7" s="44">
        <f>SUM(O5:O6)</f>
        <v/>
      </c>
      <c r="P7" s="43" t="n"/>
    </row>
  </sheetData>
  <mergeCells count="1">
    <mergeCell ref="B3:O3"/>
  </mergeCells>
  <dataValidations count="1">
    <dataValidation sqref="C5 C6" showDropDown="0" showInputMessage="0" showErrorMessage="0" allowBlank="1" type="list">
      <formula1>"Vendedora,Gerente,Cajera,Supervisor,Administrativo,Otro"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3" customWidth="1" min="4" max="4"/>
    <col width="12" customWidth="1" min="5" max="5"/>
    <col width="13" customWidth="1" min="6" max="6"/>
    <col width="13" customWidth="1" min="7" max="7"/>
    <col width="12" customWidth="1" min="8" max="8"/>
    <col width="14" customWidth="1" min="9" max="9"/>
    <col width="12" customWidth="1" min="10" max="10"/>
    <col width="14" customWidth="1" min="11" max="11"/>
    <col width="13" customWidth="1" min="12" max="12"/>
    <col width="13" customWidth="1" min="13" max="13"/>
    <col width="12" customWidth="1" min="14" max="14"/>
    <col width="34" customWidth="1" min="15" max="15"/>
  </cols>
  <sheetData>
    <row r="2">
      <c r="B2" s="29" t="inlineStr">
        <is>
          <t>🧮 Cálculo de Planilla — Práctica</t>
        </is>
      </c>
    </row>
    <row r="3">
      <c r="B3" s="6" t="inlineStr">
        <is>
          <t>Completa los datos de un empleado nuevo en las celdas rosadas (columnas B a D). Las demás columnas se calculan solas.</t>
        </is>
      </c>
    </row>
    <row r="4" ht="32" customHeight="1">
      <c r="B4" s="31" t="inlineStr">
        <is>
          <t>Empleado</t>
        </is>
      </c>
      <c r="C4" s="31" t="inlineStr">
        <is>
          <t>Puesto</t>
        </is>
      </c>
      <c r="D4" s="31" t="inlineStr">
        <is>
          <t>Sueldo
Mensual</t>
        </is>
      </c>
      <c r="E4" s="31" t="inlineStr">
        <is>
          <t>Horas
Extra ($)</t>
        </is>
      </c>
      <c r="F4" s="31" t="inlineStr">
        <is>
          <t>Total
Salario</t>
        </is>
      </c>
      <c r="G4" s="31" t="inlineStr">
        <is>
          <t>Base ISSS
(topada)</t>
        </is>
      </c>
      <c r="H4" s="31" t="inlineStr">
        <is>
          <t>ISSS
Empleado</t>
        </is>
      </c>
      <c r="I4" s="31" t="inlineStr">
        <is>
          <t>AFP
Empleado</t>
        </is>
      </c>
      <c r="J4" s="31" t="inlineStr">
        <is>
          <t>Remun.
Gravada</t>
        </is>
      </c>
      <c r="K4" s="31" t="inlineStr">
        <is>
          <t>ISR</t>
        </is>
      </c>
      <c r="L4" s="31" t="inlineStr">
        <is>
          <t>Salario
Líquido</t>
        </is>
      </c>
      <c r="M4" s="31" t="inlineStr">
        <is>
          <t>ISSS
Patronal</t>
        </is>
      </c>
      <c r="N4" s="31" t="inlineStr">
        <is>
          <t>AFP
Patronal</t>
        </is>
      </c>
      <c r="O4" s="31" t="inlineStr">
        <is>
          <t>INCAF
Patronal</t>
        </is>
      </c>
      <c r="P4" s="31" t="inlineStr">
        <is>
          <t>¿Por qué? (razonamiento)</t>
        </is>
      </c>
    </row>
    <row r="5" ht="30" customHeight="1">
      <c r="B5" s="45" t="inlineStr">
        <is>
          <t>Nombre</t>
        </is>
      </c>
      <c r="C5" s="45" t="inlineStr">
        <is>
          <t>Puesto</t>
        </is>
      </c>
      <c r="D5" s="46" t="n">
        <v>0</v>
      </c>
      <c r="E5" s="46" t="n">
        <v>0</v>
      </c>
      <c r="F5" s="40">
        <f>D5+E5</f>
        <v/>
      </c>
      <c r="G5" s="40">
        <f>MIN(F5,'2. Marco Normativo'!$F$7)</f>
        <v/>
      </c>
      <c r="H5" s="40">
        <f>ROUND(G5*'2. Marco Normativo'!$C$7,2)</f>
        <v/>
      </c>
      <c r="I5" s="40">
        <f>ROUND(F5*'2. Marco Normativo'!$C$8,2)</f>
        <v/>
      </c>
      <c r="J5" s="40">
        <f>F5-H5-I5</f>
        <v/>
      </c>
      <c r="K5" s="40">
        <f>IF(J5=0,0,ROUND((J5-VLOOKUP(J5,'2. Marco Normativo'!$C$12:$G$15,4,TRUE))*VLOOKUP(J5,'2. Marco Normativo'!$C$12:$G$15,3,TRUE)+VLOOKUP(J5,'2. Marco Normativo'!$C$12:$G$15,5,TRUE),2))</f>
        <v/>
      </c>
      <c r="L5" s="40">
        <f>F5-H5-I5-K5</f>
        <v/>
      </c>
      <c r="M5" s="40">
        <f>ROUND(G5*'2. Marco Normativo'!$D$7,2)</f>
        <v/>
      </c>
      <c r="N5" s="40">
        <f>ROUND(F5*'2. Marco Normativo'!$D$8,2)</f>
        <v/>
      </c>
      <c r="O5" s="40">
        <f>ROUND(F5*'2. Marco Normativo'!$D$9,2)</f>
        <v/>
      </c>
      <c r="P5" s="47" t="inlineStr">
        <is>
          <t>Explica aquí por qué el ISSS se topó o no.</t>
        </is>
      </c>
    </row>
    <row r="6" ht="30" customHeight="1">
      <c r="B6" s="45" t="inlineStr">
        <is>
          <t>Nombre</t>
        </is>
      </c>
      <c r="C6" s="45" t="inlineStr">
        <is>
          <t>Puesto</t>
        </is>
      </c>
      <c r="D6" s="46" t="n">
        <v>0</v>
      </c>
      <c r="E6" s="46" t="n">
        <v>0</v>
      </c>
      <c r="F6" s="40">
        <f>D6+E6</f>
        <v/>
      </c>
      <c r="G6" s="40">
        <f>MIN(F6,'2. Marco Normativo'!$F$7)</f>
        <v/>
      </c>
      <c r="H6" s="40">
        <f>ROUND(G6*'2. Marco Normativo'!$C$7,2)</f>
        <v/>
      </c>
      <c r="I6" s="40">
        <f>ROUND(F6*'2. Marco Normativo'!$C$8,2)</f>
        <v/>
      </c>
      <c r="J6" s="40">
        <f>F6-H6-I6</f>
        <v/>
      </c>
      <c r="K6" s="40">
        <f>IF(J6=0,0,ROUND((J6-VLOOKUP(J6,'2. Marco Normativo'!$C$12:$G$15,4,TRUE))*VLOOKUP(J6,'2. Marco Normativo'!$C$12:$G$15,3,TRUE)+VLOOKUP(J6,'2. Marco Normativo'!$C$12:$G$15,5,TRUE),2))</f>
        <v/>
      </c>
      <c r="L6" s="40">
        <f>F6-H6-I6-K6</f>
        <v/>
      </c>
      <c r="M6" s="40">
        <f>ROUND(G6*'2. Marco Normativo'!$D$7,2)</f>
        <v/>
      </c>
      <c r="N6" s="40">
        <f>ROUND(F6*'2. Marco Normativo'!$D$8,2)</f>
        <v/>
      </c>
      <c r="O6" s="40">
        <f>ROUND(F6*'2. Marco Normativo'!$D$9,2)</f>
        <v/>
      </c>
      <c r="P6" s="47" t="inlineStr">
        <is>
          <t>Explica aquí por qué el ISSS se topó o no.</t>
        </is>
      </c>
    </row>
    <row r="7" ht="30" customHeight="1">
      <c r="B7" s="45" t="inlineStr">
        <is>
          <t>Nombre</t>
        </is>
      </c>
      <c r="C7" s="45" t="inlineStr">
        <is>
          <t>Puesto</t>
        </is>
      </c>
      <c r="D7" s="46" t="n">
        <v>0</v>
      </c>
      <c r="E7" s="46" t="n">
        <v>0</v>
      </c>
      <c r="F7" s="40">
        <f>D7+E7</f>
        <v/>
      </c>
      <c r="G7" s="40">
        <f>MIN(F7,'2. Marco Normativo'!$F$7)</f>
        <v/>
      </c>
      <c r="H7" s="40">
        <f>ROUND(G7*'2. Marco Normativo'!$C$7,2)</f>
        <v/>
      </c>
      <c r="I7" s="40">
        <f>ROUND(F7*'2. Marco Normativo'!$C$8,2)</f>
        <v/>
      </c>
      <c r="J7" s="40">
        <f>F7-H7-I7</f>
        <v/>
      </c>
      <c r="K7" s="40">
        <f>IF(J7=0,0,ROUND((J7-VLOOKUP(J7,'2. Marco Normativo'!$C$12:$G$15,4,TRUE))*VLOOKUP(J7,'2. Marco Normativo'!$C$12:$G$15,3,TRUE)+VLOOKUP(J7,'2. Marco Normativo'!$C$12:$G$15,5,TRUE),2))</f>
        <v/>
      </c>
      <c r="L7" s="40">
        <f>F7-H7-I7-K7</f>
        <v/>
      </c>
      <c r="M7" s="40">
        <f>ROUND(G7*'2. Marco Normativo'!$D$7,2)</f>
        <v/>
      </c>
      <c r="N7" s="40">
        <f>ROUND(F7*'2. Marco Normativo'!$D$8,2)</f>
        <v/>
      </c>
      <c r="O7" s="40">
        <f>ROUND(F7*'2. Marco Normativo'!$D$9,2)</f>
        <v/>
      </c>
      <c r="P7" s="47" t="inlineStr">
        <is>
          <t>Explica aquí por qué el ISSS se topó o no.</t>
        </is>
      </c>
    </row>
    <row r="8" ht="20" customHeight="1">
      <c r="B8" s="42" t="inlineStr">
        <is>
          <t>TOTAL</t>
        </is>
      </c>
      <c r="C8" s="43" t="n"/>
      <c r="D8" s="44">
        <f>SUM(D5:D7)</f>
        <v/>
      </c>
      <c r="E8" s="44">
        <f>SUM(E5:E7)</f>
        <v/>
      </c>
      <c r="F8" s="44">
        <f>SUM(F5:F7)</f>
        <v/>
      </c>
      <c r="G8" s="44">
        <f>SUM(G5:G7)</f>
        <v/>
      </c>
      <c r="H8" s="44">
        <f>SUM(H5:H7)</f>
        <v/>
      </c>
      <c r="I8" s="44">
        <f>SUM(I5:I7)</f>
        <v/>
      </c>
      <c r="J8" s="44">
        <f>SUM(J5:J7)</f>
        <v/>
      </c>
      <c r="K8" s="44">
        <f>SUM(K5:K7)</f>
        <v/>
      </c>
      <c r="L8" s="44">
        <f>SUM(L5:L7)</f>
        <v/>
      </c>
      <c r="M8" s="44">
        <f>SUM(M5:M7)</f>
        <v/>
      </c>
      <c r="N8" s="44">
        <f>SUM(N5:N7)</f>
        <v/>
      </c>
      <c r="O8" s="44">
        <f>SUM(O5:O7)</f>
        <v/>
      </c>
      <c r="P8" s="43" t="n"/>
    </row>
  </sheetData>
  <mergeCells count="1">
    <mergeCell ref="B3:O3"/>
  </mergeCells>
  <dataValidations count="1">
    <dataValidation sqref="C5 C6 C7" showDropDown="0" showInputMessage="0" showErrorMessage="0" allowBlank="1" type="list">
      <formula1>"Vendedora,Gerente,Cajera,Supervisor,Administrativo,Otro"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4" customWidth="1" min="4" max="4"/>
    <col width="14" customWidth="1" min="5" max="5"/>
    <col width="14" customWidth="1" min="6" max="6"/>
    <col width="40" customWidth="1" min="7" max="7"/>
    <col width="4" customWidth="1" min="8" max="8"/>
  </cols>
  <sheetData>
    <row r="2">
      <c r="B2" s="29" t="inlineStr">
        <is>
          <t>📒 Libro Diario — Pago de Planilla (resuelto)</t>
        </is>
      </c>
    </row>
    <row r="3" ht="24" customHeight="1">
      <c r="B3" s="6" t="inlineStr">
        <is>
          <t>Enlazado por fórmula a los totales de la hoja "3. Cálculo Planillas" — si cambias un sueldo allá, estos montos se recalculan solos.</t>
        </is>
      </c>
    </row>
    <row r="4">
      <c r="B4" s="31" t="inlineStr">
        <is>
          <t>Partida</t>
        </is>
      </c>
      <c r="C4" s="31" t="inlineStr">
        <is>
          <t>Cuenta</t>
        </is>
      </c>
      <c r="D4" s="31" t="inlineStr">
        <is>
          <t>Clasificación</t>
        </is>
      </c>
      <c r="E4" s="31" t="inlineStr">
        <is>
          <t>Debe</t>
        </is>
      </c>
      <c r="F4" s="31" t="inlineStr">
        <is>
          <t>Haber</t>
        </is>
      </c>
      <c r="G4" s="31" t="inlineStr">
        <is>
          <t>¿Por qué?</t>
        </is>
      </c>
    </row>
    <row r="5" ht="28" customHeight="1">
      <c r="B5" s="48" t="inlineStr">
        <is>
          <t>P1</t>
        </is>
      </c>
      <c r="C5" s="48" t="inlineStr">
        <is>
          <t>Gasto de Sueldos y Salarios</t>
        </is>
      </c>
      <c r="D5" s="48" t="inlineStr">
        <is>
          <t>Gasto</t>
        </is>
      </c>
      <c r="E5" s="40">
        <f>'3. Cálculo Planillas'!F7</f>
        <v/>
      </c>
      <c r="F5" s="40" t="n"/>
      <c r="G5" s="41" t="inlineStr">
        <is>
          <t>Se reconoce el gasto por el total del salario devengado en el período.</t>
        </is>
      </c>
    </row>
    <row r="6" ht="28" customHeight="1">
      <c r="B6" s="49" t="inlineStr">
        <is>
          <t>P1</t>
        </is>
      </c>
      <c r="C6" s="49" t="inlineStr">
        <is>
          <t>ISSS por Pagar (retención)</t>
        </is>
      </c>
      <c r="D6" s="49" t="inlineStr">
        <is>
          <t>Pasivo</t>
        </is>
      </c>
      <c r="E6" s="40" t="n"/>
      <c r="F6" s="40">
        <f>'3. Cálculo Planillas'!H7</f>
        <v/>
      </c>
      <c r="G6" s="41" t="inlineStr">
        <is>
          <t>Retención hecha al empleado, pendiente de enterar al ISSS.</t>
        </is>
      </c>
    </row>
    <row r="7" ht="28" customHeight="1">
      <c r="B7" s="49" t="inlineStr">
        <is>
          <t>P1</t>
        </is>
      </c>
      <c r="C7" s="49" t="inlineStr">
        <is>
          <t>AFP por Pagar (retención)</t>
        </is>
      </c>
      <c r="D7" s="49" t="inlineStr">
        <is>
          <t>Pasivo</t>
        </is>
      </c>
      <c r="E7" s="40" t="n"/>
      <c r="F7" s="40">
        <f>'3. Cálculo Planillas'!I7</f>
        <v/>
      </c>
      <c r="G7" s="41" t="inlineStr">
        <is>
          <t>Retención hecha al empleado, pendiente de enterar a la AFP.</t>
        </is>
      </c>
    </row>
    <row r="8" ht="28" customHeight="1">
      <c r="B8" s="49" t="inlineStr">
        <is>
          <t>P1</t>
        </is>
      </c>
      <c r="C8" s="49" t="inlineStr">
        <is>
          <t>ISR Retenido por Pagar</t>
        </is>
      </c>
      <c r="D8" s="49" t="inlineStr">
        <is>
          <t>Pasivo</t>
        </is>
      </c>
      <c r="E8" s="40" t="n"/>
      <c r="F8" s="40">
        <f>'3. Cálculo Planillas'!K7</f>
        <v/>
      </c>
      <c r="G8" s="41" t="inlineStr">
        <is>
          <t>Retención de ISR según la tabla mensual, pendiente de enterar a Hacienda.</t>
        </is>
      </c>
    </row>
    <row r="9" ht="28" customHeight="1">
      <c r="B9" s="49" t="inlineStr">
        <is>
          <t>P1</t>
        </is>
      </c>
      <c r="C9" s="49" t="inlineStr">
        <is>
          <t>Sueldos y Salarios por Pagar</t>
        </is>
      </c>
      <c r="D9" s="49" t="inlineStr">
        <is>
          <t>Pasivo</t>
        </is>
      </c>
      <c r="E9" s="40" t="n"/>
      <c r="F9" s="40">
        <f>'3. Cálculo Planillas'!L7</f>
        <v/>
      </c>
      <c r="G9" s="41" t="inlineStr">
        <is>
          <t>Salario neto que aún no se ha pagado en efectivo al empleado.</t>
        </is>
      </c>
    </row>
    <row r="10" ht="28" customHeight="1">
      <c r="B10" s="48" t="inlineStr">
        <is>
          <t>P2</t>
        </is>
      </c>
      <c r="C10" s="48" t="inlineStr">
        <is>
          <t>Gasto de Aportaciones Patronales</t>
        </is>
      </c>
      <c r="D10" s="48" t="inlineStr">
        <is>
          <t>Gasto</t>
        </is>
      </c>
      <c r="E10" s="40">
        <f>'3. Cálculo Planillas'!M7+'3. Cálculo Planillas'!N7+'3. Cálculo Planillas'!O7</f>
        <v/>
      </c>
      <c r="F10" s="40" t="n"/>
      <c r="G10" s="41" t="inlineStr">
        <is>
          <t>Costo patronal adicional: ISSS + AFP + INCAF patronal — no se descuenta al empleado.</t>
        </is>
      </c>
    </row>
    <row r="11" ht="28" customHeight="1">
      <c r="B11" s="49" t="inlineStr">
        <is>
          <t>P2</t>
        </is>
      </c>
      <c r="C11" s="49" t="inlineStr">
        <is>
          <t>ISSS por Pagar (patronal)</t>
        </is>
      </c>
      <c r="D11" s="49" t="inlineStr">
        <is>
          <t>Pasivo</t>
        </is>
      </c>
      <c r="E11" s="40" t="n"/>
      <c r="F11" s="40">
        <f>'3. Cálculo Planillas'!M7</f>
        <v/>
      </c>
      <c r="G11" s="41" t="inlineStr">
        <is>
          <t>Aporte patronal pendiente de enterar al ISSS.</t>
        </is>
      </c>
    </row>
    <row r="12" ht="28" customHeight="1">
      <c r="B12" s="49" t="inlineStr">
        <is>
          <t>P2</t>
        </is>
      </c>
      <c r="C12" s="49" t="inlineStr">
        <is>
          <t>AFP por Pagar (patronal)</t>
        </is>
      </c>
      <c r="D12" s="49" t="inlineStr">
        <is>
          <t>Pasivo</t>
        </is>
      </c>
      <c r="E12" s="40" t="n"/>
      <c r="F12" s="40">
        <f>'3. Cálculo Planillas'!N7</f>
        <v/>
      </c>
      <c r="G12" s="41" t="inlineStr">
        <is>
          <t>Aporte patronal pendiente de enterar a la AFP.</t>
        </is>
      </c>
    </row>
    <row r="13" ht="28" customHeight="1">
      <c r="B13" s="49" t="inlineStr">
        <is>
          <t>P2</t>
        </is>
      </c>
      <c r="C13" s="49" t="inlineStr">
        <is>
          <t>INCAF por Pagar</t>
        </is>
      </c>
      <c r="D13" s="49" t="inlineStr">
        <is>
          <t>Pasivo</t>
        </is>
      </c>
      <c r="E13" s="40" t="n"/>
      <c r="F13" s="40">
        <f>'3. Cálculo Planillas'!O7</f>
        <v/>
      </c>
      <c r="G13" s="41" t="inlineStr">
        <is>
          <t>Aporte patronal del 1% pendiente de enterar al INCAF.</t>
        </is>
      </c>
    </row>
    <row r="14" ht="28" customHeight="1">
      <c r="B14" s="49" t="inlineStr">
        <is>
          <t>P3</t>
        </is>
      </c>
      <c r="C14" s="49" t="inlineStr">
        <is>
          <t>Sueldos y Salarios por Pagar</t>
        </is>
      </c>
      <c r="D14" s="49" t="inlineStr">
        <is>
          <t>Pasivo</t>
        </is>
      </c>
      <c r="E14" s="40">
        <f>'3. Cálculo Planillas'!L7</f>
        <v/>
      </c>
      <c r="F14" s="40" t="n"/>
      <c r="G14" s="41" t="inlineStr">
        <is>
          <t>Se cancela el pasivo de sueldos por pagar al desembolsar el efectivo.</t>
        </is>
      </c>
    </row>
    <row r="15" ht="28" customHeight="1">
      <c r="B15" s="50" t="inlineStr">
        <is>
          <t>P3</t>
        </is>
      </c>
      <c r="C15" s="50" t="inlineStr">
        <is>
          <t>Efectivo y Equivalentes</t>
        </is>
      </c>
      <c r="D15" s="50" t="inlineStr">
        <is>
          <t>Activo</t>
        </is>
      </c>
      <c r="E15" s="40" t="n"/>
      <c r="F15" s="40">
        <f>'3. Cálculo Planillas'!L7</f>
        <v/>
      </c>
      <c r="G15" s="41" t="inlineStr">
        <is>
          <t>Salida de efectivo por el pago del salario neto a los empleados.</t>
        </is>
      </c>
    </row>
    <row r="16">
      <c r="B16" s="51" t="inlineStr">
        <is>
          <t>TOTALES</t>
        </is>
      </c>
      <c r="C16" s="52" t="n"/>
      <c r="D16" s="52" t="n"/>
      <c r="E16" s="53">
        <f>SUM(E5:E15)</f>
        <v/>
      </c>
      <c r="F16" s="53">
        <f>SUM(F5:F15)</f>
        <v/>
      </c>
      <c r="G16" s="52" t="n"/>
    </row>
    <row r="17">
      <c r="B17" s="6" t="inlineStr">
        <is>
          <t>Cuadre (Debe = Haber):</t>
        </is>
      </c>
      <c r="E17" s="4">
        <f>IF(ROUND(E16-F16,2)=0,"✅ Cuadra","⚠️ Revisar")</f>
        <v/>
      </c>
    </row>
  </sheetData>
  <mergeCells count="2">
    <mergeCell ref="B17:D17"/>
    <mergeCell ref="B3:H3"/>
  </mergeCells>
  <conditionalFormatting sqref="B5:G15">
    <cfRule type="expression" priority="1" dxfId="0">
      <formula>$D5="Activo"</formula>
    </cfRule>
    <cfRule type="expression" priority="2" dxfId="1">
      <formula>$D5="Pasivo"</formula>
    </cfRule>
    <cfRule type="expression" priority="3" dxfId="2">
      <formula>$D5="Patrimonio"</formula>
    </cfRule>
    <cfRule type="expression" priority="4" dxfId="3">
      <formula>$D5="Ingreso"</formula>
    </cfRule>
    <cfRule type="expression" priority="5" dxfId="4">
      <formula>$D5="Gasto"</formula>
    </cfRule>
  </conditionalFormatting>
  <dataValidations count="1">
    <dataValidation sqref="D5 D6 D7 D8 D9 D10 D11 D12 D13 D14 D15" showDropDown="0" showInputMessage="0" showErrorMessage="0" allowBlank="1" type="list">
      <formula1>"Activo,Pasivo,Patrimonio,Ingreso,Gasto"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4" customWidth="1" min="4" max="4"/>
    <col width="14" customWidth="1" min="5" max="5"/>
    <col width="14" customWidth="1" min="6" max="6"/>
    <col width="40" customWidth="1" min="7" max="7"/>
    <col width="4" customWidth="1" min="8" max="8"/>
  </cols>
  <sheetData>
    <row r="2">
      <c r="B2" s="29" t="inlineStr">
        <is>
          <t>📒 Libro Diario — Práctica</t>
        </is>
      </c>
    </row>
    <row r="3" ht="24" customHeight="1">
      <c r="B3" s="6" t="inlineStr">
        <is>
          <t>Registra tú las 3 partidas usando los totales de "4. Cálculo Práctica". Elige la Clasificación con la lista desplegable.</t>
        </is>
      </c>
    </row>
    <row r="4">
      <c r="B4" s="31" t="inlineStr">
        <is>
          <t>Partida</t>
        </is>
      </c>
      <c r="C4" s="31" t="inlineStr">
        <is>
          <t>Cuenta</t>
        </is>
      </c>
      <c r="D4" s="31" t="inlineStr">
        <is>
          <t>Clasificación</t>
        </is>
      </c>
      <c r="E4" s="31" t="inlineStr">
        <is>
          <t>Debe</t>
        </is>
      </c>
      <c r="F4" s="31" t="inlineStr">
        <is>
          <t>Haber</t>
        </is>
      </c>
      <c r="G4" s="31" t="inlineStr">
        <is>
          <t>¿Por qué?</t>
        </is>
      </c>
    </row>
    <row r="5" ht="28" customHeight="1">
      <c r="B5" s="45" t="inlineStr">
        <is>
          <t>P1/P2/P3</t>
        </is>
      </c>
      <c r="C5" s="45" t="inlineStr">
        <is>
          <t>Nombre de la cuenta</t>
        </is>
      </c>
      <c r="D5" s="45" t="n"/>
      <c r="E5" s="54" t="n"/>
      <c r="F5" s="54" t="n"/>
      <c r="G5" s="55" t="inlineStr">
        <is>
          <t>Explica el porqué del movimiento</t>
        </is>
      </c>
    </row>
    <row r="6" ht="28" customHeight="1">
      <c r="B6" s="45" t="inlineStr">
        <is>
          <t>P1/P2/P3</t>
        </is>
      </c>
      <c r="C6" s="45" t="inlineStr">
        <is>
          <t>Nombre de la cuenta</t>
        </is>
      </c>
      <c r="D6" s="45" t="n"/>
      <c r="E6" s="54" t="n"/>
      <c r="F6" s="54" t="n"/>
      <c r="G6" s="55" t="inlineStr">
        <is>
          <t>Explica el porqué del movimiento</t>
        </is>
      </c>
    </row>
    <row r="7" ht="28" customHeight="1">
      <c r="B7" s="45" t="inlineStr">
        <is>
          <t>P1/P2/P3</t>
        </is>
      </c>
      <c r="C7" s="45" t="inlineStr">
        <is>
          <t>Nombre de la cuenta</t>
        </is>
      </c>
      <c r="D7" s="45" t="n"/>
      <c r="E7" s="54" t="n"/>
      <c r="F7" s="54" t="n"/>
      <c r="G7" s="55" t="inlineStr">
        <is>
          <t>Explica el porqué del movimiento</t>
        </is>
      </c>
    </row>
    <row r="8" ht="28" customHeight="1">
      <c r="B8" s="45" t="inlineStr">
        <is>
          <t>P1/P2/P3</t>
        </is>
      </c>
      <c r="C8" s="45" t="inlineStr">
        <is>
          <t>Nombre de la cuenta</t>
        </is>
      </c>
      <c r="D8" s="45" t="n"/>
      <c r="E8" s="54" t="n"/>
      <c r="F8" s="54" t="n"/>
      <c r="G8" s="55" t="inlineStr">
        <is>
          <t>Explica el porqué del movimiento</t>
        </is>
      </c>
    </row>
    <row r="9" ht="28" customHeight="1">
      <c r="B9" s="45" t="inlineStr">
        <is>
          <t>P1/P2/P3</t>
        </is>
      </c>
      <c r="C9" s="45" t="inlineStr">
        <is>
          <t>Nombre de la cuenta</t>
        </is>
      </c>
      <c r="D9" s="45" t="n"/>
      <c r="E9" s="54" t="n"/>
      <c r="F9" s="54" t="n"/>
      <c r="G9" s="55" t="inlineStr">
        <is>
          <t>Explica el porqué del movimiento</t>
        </is>
      </c>
    </row>
    <row r="10" ht="28" customHeight="1">
      <c r="B10" s="45" t="inlineStr">
        <is>
          <t>P1/P2/P3</t>
        </is>
      </c>
      <c r="C10" s="45" t="inlineStr">
        <is>
          <t>Nombre de la cuenta</t>
        </is>
      </c>
      <c r="D10" s="45" t="n"/>
      <c r="E10" s="54" t="n"/>
      <c r="F10" s="54" t="n"/>
      <c r="G10" s="55" t="inlineStr">
        <is>
          <t>Explica el porqué del movimiento</t>
        </is>
      </c>
    </row>
    <row r="11" ht="28" customHeight="1">
      <c r="B11" s="45" t="inlineStr">
        <is>
          <t>P1/P2/P3</t>
        </is>
      </c>
      <c r="C11" s="45" t="inlineStr">
        <is>
          <t>Nombre de la cuenta</t>
        </is>
      </c>
      <c r="D11" s="45" t="n"/>
      <c r="E11" s="54" t="n"/>
      <c r="F11" s="54" t="n"/>
      <c r="G11" s="55" t="inlineStr">
        <is>
          <t>Explica el porqué del movimiento</t>
        </is>
      </c>
    </row>
    <row r="12" ht="28" customHeight="1">
      <c r="B12" s="45" t="inlineStr">
        <is>
          <t>P1/P2/P3</t>
        </is>
      </c>
      <c r="C12" s="45" t="inlineStr">
        <is>
          <t>Nombre de la cuenta</t>
        </is>
      </c>
      <c r="D12" s="45" t="n"/>
      <c r="E12" s="54" t="n"/>
      <c r="F12" s="54" t="n"/>
      <c r="G12" s="55" t="inlineStr">
        <is>
          <t>Explica el porqué del movimiento</t>
        </is>
      </c>
    </row>
    <row r="13" ht="28" customHeight="1">
      <c r="B13" s="45" t="inlineStr">
        <is>
          <t>P1/P2/P3</t>
        </is>
      </c>
      <c r="C13" s="45" t="inlineStr">
        <is>
          <t>Nombre de la cuenta</t>
        </is>
      </c>
      <c r="D13" s="45" t="n"/>
      <c r="E13" s="54" t="n"/>
      <c r="F13" s="54" t="n"/>
      <c r="G13" s="55" t="inlineStr">
        <is>
          <t>Explica el porqué del movimiento</t>
        </is>
      </c>
    </row>
    <row r="14" ht="28" customHeight="1">
      <c r="B14" s="45" t="inlineStr">
        <is>
          <t>P1/P2/P3</t>
        </is>
      </c>
      <c r="C14" s="45" t="inlineStr">
        <is>
          <t>Nombre de la cuenta</t>
        </is>
      </c>
      <c r="D14" s="45" t="n"/>
      <c r="E14" s="54" t="n"/>
      <c r="F14" s="54" t="n"/>
      <c r="G14" s="55" t="inlineStr">
        <is>
          <t>Explica el porqué del movimiento</t>
        </is>
      </c>
    </row>
    <row r="15" ht="28" customHeight="1">
      <c r="B15" s="45" t="inlineStr">
        <is>
          <t>P1/P2/P3</t>
        </is>
      </c>
      <c r="C15" s="45" t="inlineStr">
        <is>
          <t>Nombre de la cuenta</t>
        </is>
      </c>
      <c r="D15" s="45" t="n"/>
      <c r="E15" s="54" t="n"/>
      <c r="F15" s="54" t="n"/>
      <c r="G15" s="55" t="inlineStr">
        <is>
          <t>Explica el porqué del movimiento</t>
        </is>
      </c>
    </row>
    <row r="16">
      <c r="B16" s="51" t="inlineStr">
        <is>
          <t>TOTALES</t>
        </is>
      </c>
      <c r="C16" s="52" t="n"/>
      <c r="D16" s="52" t="n"/>
      <c r="E16" s="53">
        <f>SUM(E5:E15)</f>
        <v/>
      </c>
      <c r="F16" s="53">
        <f>SUM(F5:F15)</f>
        <v/>
      </c>
      <c r="G16" s="52" t="n"/>
    </row>
    <row r="17">
      <c r="B17" s="6" t="inlineStr">
        <is>
          <t>Cuadre (Debe = Haber):</t>
        </is>
      </c>
      <c r="E17" s="4">
        <f>IF(ROUND(E16-F16,2)=0,"✅ Cuadra","⚠️ Revisar")</f>
        <v/>
      </c>
    </row>
  </sheetData>
  <mergeCells count="2">
    <mergeCell ref="B17:D17"/>
    <mergeCell ref="B3:H3"/>
  </mergeCells>
  <conditionalFormatting sqref="B5:G15">
    <cfRule type="expression" priority="1" dxfId="0">
      <formula>$D5="Activo"</formula>
    </cfRule>
    <cfRule type="expression" priority="2" dxfId="1">
      <formula>$D5="Pasivo"</formula>
    </cfRule>
    <cfRule type="expression" priority="3" dxfId="2">
      <formula>$D5="Patrimonio"</formula>
    </cfRule>
    <cfRule type="expression" priority="4" dxfId="3">
      <formula>$D5="Ingreso"</formula>
    </cfRule>
    <cfRule type="expression" priority="5" dxfId="4">
      <formula>$D5="Gasto"</formula>
    </cfRule>
  </conditionalFormatting>
  <dataValidations count="1">
    <dataValidation sqref="D5 D6 D7 D8 D9 D10 D11 D12 D13 D14 D15" showDropDown="0" showInputMessage="0" showErrorMessage="0" allowBlank="1" type="list">
      <formula1>"Activo,Pasivo,Patrimonio,Ingreso,Gasto"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3" customWidth="1" min="3" max="3"/>
    <col width="10" customWidth="1" min="4" max="4"/>
    <col width="11" customWidth="1" min="5" max="5"/>
    <col width="13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30" customWidth="1" min="14" max="14"/>
  </cols>
  <sheetData>
    <row r="2">
      <c r="B2" s="29" t="inlineStr">
        <is>
          <t>📊 Cédula de Prestaciones Laborales (resuelto)</t>
        </is>
      </c>
    </row>
    <row r="3" ht="34" customHeight="1">
      <c r="B3" s="30" t="inlineStr">
        <is>
          <t>Ejemplo ilustrativo: los AÑOS DE SERVICIO de Ana y Juan son un supuesto pedagógico del vault (no vienen del enunciado del Ejercicio 1, que no da antigüedad) — solo para mostrar el cálculo completo de la cédula. El sueldo mensual y las tasas sí vienen del ejercicio verificado y de la Hoja 2.</t>
        </is>
      </c>
    </row>
    <row r="4" ht="34" customHeight="1">
      <c r="B4" s="31" t="inlineStr">
        <is>
          <t>Empleado</t>
        </is>
      </c>
      <c r="C4" s="31" t="inlineStr">
        <is>
          <t>Sueldo
Mensual</t>
        </is>
      </c>
      <c r="D4" s="31" t="inlineStr">
        <is>
          <t>Años de
Servicio</t>
        </is>
      </c>
      <c r="E4" s="31" t="inlineStr">
        <is>
          <t>Salario
Diario</t>
        </is>
      </c>
      <c r="F4" s="31" t="inlineStr">
        <is>
          <t>Vacaciones
(15d+30%)</t>
        </is>
      </c>
      <c r="G4" s="31" t="inlineStr">
        <is>
          <t>Días
Aguinaldo</t>
        </is>
      </c>
      <c r="H4" s="31" t="inlineStr">
        <is>
          <t>Aguinaldo</t>
        </is>
      </c>
      <c r="I4" s="31" t="inlineStr">
        <is>
          <t>Exento
(2 SM)</t>
        </is>
      </c>
      <c r="J4" s="31" t="inlineStr">
        <is>
          <t>Exceso
Gravado</t>
        </is>
      </c>
      <c r="K4" s="31" t="inlineStr">
        <is>
          <t>ISR s/
exceso</t>
        </is>
      </c>
      <c r="L4" s="31" t="inlineStr">
        <is>
          <t>Indemnización
(30d × año)</t>
        </is>
      </c>
      <c r="M4" s="31" t="inlineStr">
        <is>
          <t>Renuncia
Voluntaria</t>
        </is>
      </c>
      <c r="N4" s="31" t="inlineStr">
        <is>
          <t>¿Por qué?</t>
        </is>
      </c>
    </row>
    <row r="5" ht="30" customHeight="1">
      <c r="B5" s="32">
        <f>'3. Cálculo Planillas'!B5</f>
        <v/>
      </c>
      <c r="C5" s="56">
        <f>'3. Cálculo Planillas'!D5</f>
        <v/>
      </c>
      <c r="D5" s="38" t="n">
        <v>4</v>
      </c>
      <c r="E5" s="40">
        <f>ROUND(C5/30,2)</f>
        <v/>
      </c>
      <c r="F5" s="40">
        <f>ROUND(E5*15*1.3,2)</f>
        <v/>
      </c>
      <c r="G5" s="57">
        <f>IF(D5="",0,VLOOKUP(D5,'2. Marco Normativo'!$B$57:$D$59,3,TRUE))</f>
        <v/>
      </c>
      <c r="H5" s="40">
        <f>ROUND(E5*G5,2)</f>
        <v/>
      </c>
      <c r="I5" s="40">
        <f>'2. Marco Normativo'!$C$48*2</f>
        <v/>
      </c>
      <c r="J5" s="40">
        <f>MAX(0,H5-I5)</f>
        <v/>
      </c>
      <c r="K5" s="40">
        <f>IF(J5=0,0,ROUND((J5-VLOOKUP(J5,'2. Marco Normativo'!$C$12:$G$15,4,TRUE))*VLOOKUP(J5,'2. Marco Normativo'!$C$12:$G$15,3,TRUE)+VLOOKUP(J5,'2. Marco Normativo'!$C$12:$G$15,5,TRUE),2))</f>
        <v/>
      </c>
      <c r="L5" s="40">
        <f>ROUND(MIN(E5,ROUND(('2. Marco Normativo'!$C$48*4)/30,2))*30*D5,2)</f>
        <v/>
      </c>
      <c r="M5" s="40">
        <f>ROUND(MIN(E5,ROUND(('2. Marco Normativo'!$C$48*2)/30,2))*15*D5,2)</f>
        <v/>
      </c>
      <c r="N5" s="41" t="inlineStr">
        <is>
          <t>4 años de antigüedad → tabla de aguinaldo: 3-10 años = 19 días. Aguinaldo bajo el tope exento (2 SM), no paga ISR. Indemnización con salario diario topado a 4 salarios mínimos diarios (Art. 58, Código de Trabajo).</t>
        </is>
      </c>
    </row>
    <row r="6" ht="30" customHeight="1">
      <c r="B6" s="32">
        <f>'3. Cálculo Planillas'!B6</f>
        <v/>
      </c>
      <c r="C6" s="56">
        <f>'3. Cálculo Planillas'!D6</f>
        <v/>
      </c>
      <c r="D6" s="38" t="n">
        <v>12</v>
      </c>
      <c r="E6" s="40">
        <f>ROUND(C6/30,2)</f>
        <v/>
      </c>
      <c r="F6" s="40">
        <f>ROUND(E6*15*1.3,2)</f>
        <v/>
      </c>
      <c r="G6" s="57">
        <f>IF(D6="",0,VLOOKUP(D6,'2. Marco Normativo'!$B$57:$D$59,3,TRUE))</f>
        <v/>
      </c>
      <c r="H6" s="40">
        <f>ROUND(E6*G6,2)</f>
        <v/>
      </c>
      <c r="I6" s="40">
        <f>'2. Marco Normativo'!$C$48*2</f>
        <v/>
      </c>
      <c r="J6" s="40">
        <f>MAX(0,H6-I6)</f>
        <v/>
      </c>
      <c r="K6" s="40">
        <f>IF(J6=0,0,ROUND((J6-VLOOKUP(J6,'2. Marco Normativo'!$C$12:$G$15,4,TRUE))*VLOOKUP(J6,'2. Marco Normativo'!$C$12:$G$15,3,TRUE)+VLOOKUP(J6,'2. Marco Normativo'!$C$12:$G$15,5,TRUE),2))</f>
        <v/>
      </c>
      <c r="L6" s="40">
        <f>ROUND(MIN(E6,ROUND(('2. Marco Normativo'!$C$48*4)/30,2))*30*D6,2)</f>
        <v/>
      </c>
      <c r="M6" s="40">
        <f>ROUND(MIN(E6,ROUND(('2. Marco Normativo'!$C$48*2)/30,2))*15*D6,2)</f>
        <v/>
      </c>
      <c r="N6" s="41" t="inlineStr">
        <is>
          <t>12 años de antigüedad → 10+ años = 21 días. Aguinaldo supera el tope exento; el exceso paga ISR. Su salario diario ($83.33) supera el tope de 4 salarios mínimos diarios ($54.51), así que la indemnización se calcula con el tope, no con su salario real — y la renuncia voluntaria se topa a 2 salarios mínimos diarios.</t>
        </is>
      </c>
    </row>
  </sheetData>
  <mergeCells count="1">
    <mergeCell ref="B3:N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N7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3" customWidth="1" min="3" max="3"/>
    <col width="10" customWidth="1" min="4" max="4"/>
    <col width="11" customWidth="1" min="5" max="5"/>
    <col width="13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30" customWidth="1" min="14" max="14"/>
  </cols>
  <sheetData>
    <row r="2">
      <c r="B2" s="29" t="inlineStr">
        <is>
          <t>📊 Cédula de Prestaciones Laborales — Práctica</t>
        </is>
      </c>
    </row>
    <row r="3" ht="34" customHeight="1">
      <c r="B3" s="30" t="inlineStr">
        <is>
          <t>Completa el sueldo y los años de servicio (celdas rosadas). El resto se calcula con las mismas fórmulas de la hoja resuelta.</t>
        </is>
      </c>
    </row>
    <row r="4" ht="34" customHeight="1">
      <c r="B4" s="31" t="inlineStr">
        <is>
          <t>Empleado</t>
        </is>
      </c>
      <c r="C4" s="31" t="inlineStr">
        <is>
          <t>Sueldo
Mensual</t>
        </is>
      </c>
      <c r="D4" s="31" t="inlineStr">
        <is>
          <t>Años de
Servicio</t>
        </is>
      </c>
      <c r="E4" s="31" t="inlineStr">
        <is>
          <t>Salario
Diario</t>
        </is>
      </c>
      <c r="F4" s="31" t="inlineStr">
        <is>
          <t>Vacaciones
(15d+30%)</t>
        </is>
      </c>
      <c r="G4" s="31" t="inlineStr">
        <is>
          <t>Días
Aguinaldo</t>
        </is>
      </c>
      <c r="H4" s="31" t="inlineStr">
        <is>
          <t>Aguinaldo</t>
        </is>
      </c>
      <c r="I4" s="31" t="inlineStr">
        <is>
          <t>Exento
(2 SM)</t>
        </is>
      </c>
      <c r="J4" s="31" t="inlineStr">
        <is>
          <t>Exceso
Gravado</t>
        </is>
      </c>
      <c r="K4" s="31" t="inlineStr">
        <is>
          <t>ISR s/
exceso</t>
        </is>
      </c>
      <c r="L4" s="31" t="inlineStr">
        <is>
          <t>Indemnización
(30d × año)</t>
        </is>
      </c>
      <c r="M4" s="31" t="inlineStr">
        <is>
          <t>Renuncia
Voluntaria</t>
        </is>
      </c>
      <c r="N4" s="31" t="inlineStr">
        <is>
          <t>¿Por qué?</t>
        </is>
      </c>
    </row>
    <row r="5" ht="30" customHeight="1">
      <c r="B5" s="32">
        <f>'4. Cálculo Práctica'!B5</f>
        <v/>
      </c>
      <c r="C5" s="56">
        <f>'4. Cálculo Práctica'!D5</f>
        <v/>
      </c>
      <c r="D5" s="58" t="n"/>
      <c r="E5" s="40">
        <f>ROUND(C5/30,2)</f>
        <v/>
      </c>
      <c r="F5" s="40">
        <f>ROUND(E5*15*1.3,2)</f>
        <v/>
      </c>
      <c r="G5" s="57">
        <f>IF(D5="",0,VLOOKUP(D5,'2. Marco Normativo'!$B$57:$D$59,3,TRUE))</f>
        <v/>
      </c>
      <c r="H5" s="40">
        <f>ROUND(E5*G5,2)</f>
        <v/>
      </c>
      <c r="I5" s="40">
        <f>'2. Marco Normativo'!$C$48*2</f>
        <v/>
      </c>
      <c r="J5" s="40">
        <f>MAX(0,H5-I5)</f>
        <v/>
      </c>
      <c r="K5" s="40">
        <f>IF(J5=0,0,ROUND((J5-VLOOKUP(J5,'2. Marco Normativo'!$C$12:$G$15,4,TRUE))*VLOOKUP(J5,'2. Marco Normativo'!$C$12:$G$15,3,TRUE)+VLOOKUP(J5,'2. Marco Normativo'!$C$12:$G$15,5,TRUE),2))</f>
        <v/>
      </c>
      <c r="L5" s="40">
        <f>ROUND(MIN(E5,ROUND(('2. Marco Normativo'!$C$48*4)/30,2))*30*D5,2)</f>
        <v/>
      </c>
      <c r="M5" s="40">
        <f>ROUND(MIN(E5,ROUND(('2. Marco Normativo'!$C$48*2)/30,2))*15*D5,2)</f>
        <v/>
      </c>
      <c r="N5" s="47" t="inlineStr">
        <is>
          <t>Explica el resultado de tu ejemplo.</t>
        </is>
      </c>
    </row>
    <row r="6" ht="30" customHeight="1">
      <c r="B6" s="32">
        <f>'4. Cálculo Práctica'!B6</f>
        <v/>
      </c>
      <c r="C6" s="56">
        <f>'4. Cálculo Práctica'!D6</f>
        <v/>
      </c>
      <c r="D6" s="58" t="n"/>
      <c r="E6" s="40">
        <f>ROUND(C6/30,2)</f>
        <v/>
      </c>
      <c r="F6" s="40">
        <f>ROUND(E6*15*1.3,2)</f>
        <v/>
      </c>
      <c r="G6" s="57">
        <f>IF(D6="",0,VLOOKUP(D6,'2. Marco Normativo'!$B$57:$D$59,3,TRUE))</f>
        <v/>
      </c>
      <c r="H6" s="40">
        <f>ROUND(E6*G6,2)</f>
        <v/>
      </c>
      <c r="I6" s="40">
        <f>'2. Marco Normativo'!$C$48*2</f>
        <v/>
      </c>
      <c r="J6" s="40">
        <f>MAX(0,H6-I6)</f>
        <v/>
      </c>
      <c r="K6" s="40">
        <f>IF(J6=0,0,ROUND((J6-VLOOKUP(J6,'2. Marco Normativo'!$C$12:$G$15,4,TRUE))*VLOOKUP(J6,'2. Marco Normativo'!$C$12:$G$15,3,TRUE)+VLOOKUP(J6,'2. Marco Normativo'!$C$12:$G$15,5,TRUE),2))</f>
        <v/>
      </c>
      <c r="L6" s="40">
        <f>ROUND(MIN(E6,ROUND(('2. Marco Normativo'!$C$48*4)/30,2))*30*D6,2)</f>
        <v/>
      </c>
      <c r="M6" s="40">
        <f>ROUND(MIN(E6,ROUND(('2. Marco Normativo'!$C$48*2)/30,2))*15*D6,2)</f>
        <v/>
      </c>
      <c r="N6" s="47" t="inlineStr">
        <is>
          <t>Explica el resultado de tu ejemplo.</t>
        </is>
      </c>
    </row>
    <row r="7" ht="30" customHeight="1">
      <c r="B7" s="32">
        <f>'4. Cálculo Práctica'!B7</f>
        <v/>
      </c>
      <c r="C7" s="56">
        <f>'4. Cálculo Práctica'!D7</f>
        <v/>
      </c>
      <c r="D7" s="58" t="n"/>
      <c r="E7" s="40">
        <f>ROUND(C7/30,2)</f>
        <v/>
      </c>
      <c r="F7" s="40">
        <f>ROUND(E7*15*1.3,2)</f>
        <v/>
      </c>
      <c r="G7" s="57">
        <f>IF(D7="",0,VLOOKUP(D7,'2. Marco Normativo'!$B$57:$D$59,3,TRUE))</f>
        <v/>
      </c>
      <c r="H7" s="40">
        <f>ROUND(E7*G7,2)</f>
        <v/>
      </c>
      <c r="I7" s="40">
        <f>'2. Marco Normativo'!$C$48*2</f>
        <v/>
      </c>
      <c r="J7" s="40">
        <f>MAX(0,H7-I7)</f>
        <v/>
      </c>
      <c r="K7" s="40">
        <f>IF(J7=0,0,ROUND((J7-VLOOKUP(J7,'2. Marco Normativo'!$C$12:$G$15,4,TRUE))*VLOOKUP(J7,'2. Marco Normativo'!$C$12:$G$15,3,TRUE)+VLOOKUP(J7,'2. Marco Normativo'!$C$12:$G$15,5,TRUE),2))</f>
        <v/>
      </c>
      <c r="L7" s="40">
        <f>ROUND(MIN(E7,ROUND(('2. Marco Normativo'!$C$48*4)/30,2))*30*D7,2)</f>
        <v/>
      </c>
      <c r="M7" s="40">
        <f>ROUND(MIN(E7,ROUND(('2. Marco Normativo'!$C$48*2)/30,2))*15*D7,2)</f>
        <v/>
      </c>
      <c r="N7" s="47" t="inlineStr">
        <is>
          <t>Explica el resultado de tu ejemplo.</t>
        </is>
      </c>
    </row>
  </sheetData>
  <mergeCells count="1">
    <mergeCell ref="B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2026-08-26T01:15:08Z</dcterms:created>
  <dcterms:modified xmlns:dcterms="http://purl.org/dc/terms/" xmlns:xsi="http://www.w3.org/2001/XMLSchema-instance" xsi:type="dcterms:W3CDTF">2026-08-27T16:53:59Z</dcterms:modified>
</cp:coreProperties>
</file>